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charts/chart4.xml" ContentType="application/vnd.openxmlformats-officedocument.drawingml.chart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4.xml" ContentType="application/vnd.openxmlformats-officedocument.spreadsheetml.worksheet+xml"/>
</ns0: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7="http://schemas.microsoft.com/office/spreadsheetml/2018/calcfeatures" xmlns:r="http://schemas.openxmlformats.org/officeDocument/2006/relationships" ns1:Ignorable="x15 xr xr6 xr10 xr2">
  <fileVersion appName="xl" lastEdited="7" lowestEdited="7" rupBuild="10628"/>
  <workbookPr/>
  <ns1:AlternateContent>
    <ns1:Choice Requires="x15"/>
  </ns1:AlternateContent>
  <ns2:revisionPtr revIDLastSave="0" documentId="13_ncr:20001_{B02623C2-DED1-CC4D-8B4E-BEE924054912}" ns3:coauthVersionLast="47" ns3:coauthVersionMax="47" ns4:uidLastSave="{00000000-0000-0000-0000-000000000000}"/>
  <bookViews>
    <workbookView xWindow="0" yWindow="660" windowWidth="30240" windowHeight="17180" ns5:uid="{00000000-000D-0000-FFFF-FFFF00000000}"/>
  </bookViews>
  <sheets>
    <sheet name="Dashboard" sheetId="1" r:id="rId1"/>
    <sheet name="Data &amp; Targets" sheetId="2" r:id="rId2"/>
    <sheet name="_Chart Helpers" sheetId="3" state="hidden" r:id="rId3"/>
    <sheet r:id="rIdRuns" name="Runs" sheetId="4"/>
  </sheets>
  <calcPr calcId="191029" fullCalcOnLoad="1" forceFullCalc="1" calcMode="auto"/>
  <extLst>
    <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  <ns7:feature name="microsoft.com:LAMBDA_WF"/>
        <ns7:feature name="microsoft.com:ARRAYTEXT_WF"/>
      </ns7:calcFeatures>
    </ext>
  </extLst>
</workbook>
</file>

<file path=xl/calcChain.xml><?xml version="1.0" encoding="utf-8"?>
<calcChain xmlns="http://schemas.openxmlformats.org/spreadsheetml/2006/main">
  <c r="N13" i="3" l="1"/>
  <c r="M13" i="3"/>
  <c r="L13" i="3"/>
  <c r="J13" i="3"/>
  <c r="I13" i="3"/>
  <c r="H13" i="3"/>
  <c r="N12" i="3"/>
  <c r="M12" i="3"/>
  <c r="L12" i="3"/>
  <c r="J12" i="3"/>
  <c r="I12" i="3"/>
  <c r="H12" i="3"/>
  <c r="N11" i="3"/>
  <c r="M11" i="3"/>
  <c r="L11" i="3"/>
  <c r="J11" i="3"/>
  <c r="I11" i="3"/>
  <c r="H11" i="3"/>
  <c r="N10" i="3"/>
  <c r="M10" i="3"/>
  <c r="L10" i="3"/>
  <c r="J10" i="3"/>
  <c r="I10" i="3"/>
  <c r="H10" i="3"/>
  <c r="N9" i="3"/>
  <c r="M9" i="3"/>
  <c r="L9" i="3"/>
  <c r="J9" i="3"/>
  <c r="I9" i="3"/>
  <c r="H9" i="3"/>
  <c r="E9" i="3"/>
  <c r="D9" i="3"/>
  <c r="N13" i="1" s="1"/>
  <c r="C9" i="3"/>
  <c r="E52" i="1" s="1"/>
  <c r="B9" i="3"/>
  <c r="P13" i="1" s="1"/>
  <c r="A9" i="3"/>
  <c r="N8" i="3"/>
  <c r="M8" i="3"/>
  <c r="L8" i="3"/>
  <c r="J8" i="3"/>
  <c r="I8" i="3"/>
  <c r="H8" i="3"/>
  <c r="E8" i="3"/>
  <c r="D8" i="3"/>
  <c r="C8" i="3"/>
  <c r="B8" i="3"/>
  <c r="L13" i="1" s="1"/>
  <c r="A8" i="3"/>
  <c r="N7" i="3"/>
  <c r="M7" i="3"/>
  <c r="L7" i="3"/>
  <c r="J7" i="3"/>
  <c r="I7" i="3"/>
  <c r="H7" i="3"/>
  <c r="E7" i="3"/>
  <c r="D7" i="3"/>
  <c r="F13" i="1" s="1"/>
  <c r="C7" i="3"/>
  <c r="B7" i="3"/>
  <c r="T4" i="3" s="1"/>
  <c r="A7" i="3"/>
  <c r="P6" i="3"/>
  <c r="N6" i="3"/>
  <c r="M6" i="3"/>
  <c r="L6" i="3"/>
  <c r="J6" i="3"/>
  <c r="I6" i="3"/>
  <c r="H6" i="3"/>
  <c r="E6" i="3"/>
  <c r="D6" i="3"/>
  <c r="B13" i="1" s="1"/>
  <c r="C6" i="3"/>
  <c r="E49" i="1" s="1"/>
  <c r="B6" i="3"/>
  <c r="D49" i="1" s="1"/>
  <c r="A6" i="3"/>
  <c r="T5" i="3"/>
  <c r="S5" i="3"/>
  <c r="P5" i="3"/>
  <c r="N5" i="3"/>
  <c r="M5" i="3"/>
  <c r="L5" i="3"/>
  <c r="J5" i="3"/>
  <c r="I5" i="3"/>
  <c r="H5" i="3"/>
  <c r="E5" i="3"/>
  <c r="D5" i="3"/>
  <c r="N8" i="1" s="1"/>
  <c r="C5" i="3"/>
  <c r="E48" i="1" s="1"/>
  <c r="B5" i="3"/>
  <c r="D48" i="1" s="1"/>
  <c r="G48" i="1" s="1"/>
  <c r="A5" i="3"/>
  <c r="S4" i="3"/>
  <c r="P4" i="3"/>
  <c r="N4" i="3"/>
  <c r="M4" i="3"/>
  <c r="L4" i="3"/>
  <c r="J4" i="3"/>
  <c r="I4" i="3"/>
  <c r="H4" i="3"/>
  <c r="E4" i="3"/>
  <c r="D4" i="3"/>
  <c r="J8" i="1" s="1"/>
  <c r="C4" i="3"/>
  <c r="B4" i="3"/>
  <c r="L8" i="1" s="1"/>
  <c r="A4" i="3"/>
  <c r="T3" i="3"/>
  <c r="S3" i="3"/>
  <c r="P3" i="3"/>
  <c r="N3" i="3"/>
  <c r="M3" i="3"/>
  <c r="L3" i="3"/>
  <c r="J3" i="3"/>
  <c r="I3" i="3"/>
  <c r="H3" i="3"/>
  <c r="E3" i="3"/>
  <c r="D3" i="3"/>
  <c r="C3" i="3"/>
  <c r="E46" i="1" s="1"/>
  <c r="B3" i="3"/>
  <c r="D46" i="1" s="1"/>
  <c r="A3" i="3"/>
  <c r="T2" i="3"/>
  <c r="S2" i="3"/>
  <c r="Q2" i="3"/>
  <c r="P2" i="3"/>
  <c r="N2" i="3"/>
  <c r="M2" i="3"/>
  <c r="L2" i="3"/>
  <c r="J2" i="3"/>
  <c r="I2" i="3"/>
  <c r="H2" i="3"/>
  <c r="E2" i="3"/>
  <c r="D2" i="3"/>
  <c r="B8" i="1" s="1"/>
  <c r="C2" i="3"/>
  <c r="E45" i="1" s="1"/>
  <c r="B2" i="3"/>
  <c r="Q6" i="3" s="1"/>
  <c r="A2" i="3"/>
  <c r="B45" i="1" s="1"/>
  <c r="T1" i="3"/>
  <c r="S1" i="3"/>
  <c r="Q1" i="3"/>
  <c r="P1" i="3"/>
  <c r="N1" i="3"/>
  <c r="M1" i="3"/>
  <c r="L1" i="3"/>
  <c r="J1" i="3"/>
  <c r="I1" i="3"/>
  <c r="H1" i="3"/>
  <c r="F1" i="3"/>
  <c r="E1" i="3"/>
  <c r="D1" i="3"/>
  <c r="C1" i="3"/>
  <c r="B1" i="3"/>
  <c r="A1" i="3"/>
  <c r="H35" i="2"/>
  <c r="C10" i="2"/>
  <c r="C52" i="1"/>
  <c r="B52" i="1"/>
  <c r="E51" i="1"/>
  <c r="D51" i="1"/>
  <c r="C51" i="1"/>
  <c r="B51" i="1"/>
  <c r="E50" i="1"/>
  <c r="D50" i="1"/>
  <c r="C50" i="1"/>
  <c r="B50" i="1"/>
  <c r="C49" i="1"/>
  <c r="B49" i="1"/>
  <c r="C48" i="1"/>
  <c r="B48" i="1"/>
  <c r="E47" i="1"/>
  <c r="D47" i="1"/>
  <c r="G47" i="1" s="1"/>
  <c r="C47" i="1"/>
  <c r="B47" i="1"/>
  <c r="C46" i="1"/>
  <c r="B46" i="1"/>
  <c r="C45" i="1"/>
  <c r="J13" i="1"/>
  <c r="H13" i="1"/>
  <c r="D13" i="1"/>
  <c r="N11" i="1"/>
  <c r="J11" i="1"/>
  <c r="F11" i="1"/>
  <c r="B11" i="1"/>
  <c r="P8" i="1"/>
  <c r="B4" i="1"/>
  <c r="N3" i="1"/>
  <c r="J3" i="1"/>
  <c r="G50" i="1" l="1"/>
  <c r="G51" i="1"/>
  <c r="F2" i="3"/>
  <c r="H45" i="1" s="1"/>
  <c r="F8" i="3"/>
  <c r="H51" i="1" s="1"/>
  <c r="F3" i="3"/>
  <c r="H46" i="1" s="1"/>
  <c r="F4" i="3"/>
  <c r="H47" i="1" s="1"/>
  <c r="F7" i="3"/>
  <c r="H50" i="1" s="1"/>
  <c r="B6" i="1"/>
  <c r="F5" i="3"/>
  <c r="H48" i="1" s="1"/>
  <c r="F6" i="3"/>
  <c r="H49" i="1" s="1"/>
  <c r="N6" i="1"/>
  <c r="D52" i="1"/>
  <c r="G52" i="1" s="1"/>
  <c r="D8" i="1"/>
  <c r="D45" i="1"/>
  <c r="G45" i="1" s="1"/>
  <c r="Q4" i="3"/>
  <c r="Q5" i="3"/>
  <c r="F9" i="3"/>
  <c r="H52" i="1" s="1"/>
  <c r="G49" i="1"/>
  <c r="G46" i="1"/>
  <c r="F46" i="1"/>
  <c r="F49" i="1"/>
  <c r="F47" i="1"/>
  <c r="F51" i="1"/>
  <c r="F6" i="1"/>
  <c r="Q3" i="3"/>
  <c r="J6" i="1"/>
  <c r="F8" i="1"/>
  <c r="H8" i="1"/>
  <c r="F48" i="1"/>
  <c r="F50" i="1"/>
  <c r="F45" i="1" l="1"/>
  <c r="F52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umFmts count="46">
    <numFmt numFmtId="164" formatCode="mmm\ yyyy"/>
    <numFmt numFmtId="165" formatCode="#,##0;[Red]\(#,##0\);\-"/>
    <numFmt numFmtId="166" formatCode="0.0%;[Red]\(0.0%\);\-"/>
    <numFmt numFmtId="167" formatCode="#,##0.0;[Red]\(#,##0.0\);\-"/>
    <numFmt numFmtId="168" formatCode="\$#,##0;[Red]\(\$#,##0\);\-"/>
    <numFmt numFmtId="169" formatCode="0.0\x"/>
    <numFmt numFmtId="170" formatCode="\$#,##0.0;[Red]\(\$#,##0.0\);\-"/>
    <numFmt numFmtId="171" formatCode="\+0.0%;\-0.0%;\-"/>
    <numFmt numFmtId="208" formatCode="General"/>
    <numFmt numFmtId="209" formatCode="General"/>
    <numFmt numFmtId="210" formatCode="General"/>
    <numFmt numFmtId="211" formatCode="General"/>
    <numFmt numFmtId="212" formatCode="General"/>
    <numFmt numFmtId="213" formatCode="General"/>
    <numFmt numFmtId="214" formatCode="General"/>
    <numFmt numFmtId="215" formatCode="General"/>
    <numFmt numFmtId="216" formatCode="General"/>
    <numFmt numFmtId="217" formatCode="0"/>
    <numFmt numFmtId="218" formatCode="0"/>
    <numFmt numFmtId="219" formatCode="General"/>
    <numFmt numFmtId="220" formatCode="0.00"/>
    <numFmt numFmtId="221" formatCode="0.0%"/>
    <numFmt numFmtId="222" formatCode="0.00"/>
    <numFmt numFmtId="223" formatCode="0.00"/>
    <numFmt numFmtId="224" formatCode="General"/>
    <numFmt numFmtId="225" formatCode="General"/>
    <numFmt numFmtId="226" formatCode="General"/>
    <numFmt numFmtId="227" formatCode="General"/>
    <numFmt numFmtId="228" formatCode="General"/>
    <numFmt numFmtId="229" formatCode="General"/>
    <numFmt numFmtId="230" formatCode="0.00"/>
    <numFmt numFmtId="231" formatCode="0.0%"/>
    <numFmt numFmtId="232" formatCode="0.00"/>
    <numFmt numFmtId="233" formatCode="0"/>
    <numFmt numFmtId="234" formatCode="0"/>
    <numFmt numFmtId="235" formatCode="General"/>
    <numFmt numFmtId="236" formatCode="General"/>
    <numFmt numFmtId="237" formatCode="0.00"/>
    <numFmt numFmtId="238" formatCode="0.0%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%"/>
    <numFmt numFmtId="245" formatCode="General"/>
  </numFmts>
  <fonts count="20" ns2:knownFonts="1">
    <font>
      <sz val="11"/>
      <name val="Arial"/>
    </font>
    <font>
      <b/>
      <sz val="14"/>
      <color rgb="FFFFFFFF"/>
      <name val="Arial"/>
      <family val="2"/>
    </font>
    <font>
      <b/>
      <sz val="10"/>
      <color rgb="FFD9E2EA"/>
      <name val="Arial"/>
      <family val="2"/>
    </font>
    <font>
      <b/>
      <sz val="10"/>
      <color rgb="FFFFFFFF"/>
      <name val="Arial"/>
      <family val="2"/>
    </font>
    <font>
      <sz val="9"/>
      <color rgb="FF17212B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8"/>
      <color rgb="FFA7B4C2"/>
      <name val="Arial"/>
      <family val="2"/>
    </font>
    <font>
      <b/>
      <sz val="11"/>
      <color rgb="FFFFFFFF"/>
      <name val="Arial"/>
      <family val="2"/>
    </font>
    <font>
      <i/>
      <sz val="8"/>
      <color rgb="FFA7B4C2"/>
      <name val="Arial"/>
      <family val="2"/>
    </font>
    <font>
      <b/>
      <sz val="9"/>
      <color rgb="FFA7B4C2"/>
      <name val="Arial"/>
      <family val="2"/>
    </font>
    <font>
      <b/>
      <sz val="25"/>
      <color rgb="FFFFFFFF"/>
      <name val="Arial"/>
      <family val="2"/>
    </font>
    <font>
      <b/>
      <sz val="9"/>
      <color rgb="FF43D3FF"/>
      <name val="Arial"/>
      <family val="2"/>
    </font>
    <font>
      <sz val="8"/>
      <color rgb="FFA7B4C2"/>
      <name val="Arial"/>
      <family val="2"/>
    </font>
    <font>
      <sz val="9"/>
      <color rgb="FFA7B4C2"/>
      <name val="Arial"/>
      <family val="2"/>
    </font>
    <font>
      <i/>
      <sz val="9"/>
      <color rgb="FFA7B4C2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i/>
      <sz val="10"/>
      <color rgb="FFD9E2E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5313C"/>
      </patternFill>
    </fill>
    <fill>
      <patternFill patternType="solid">
        <fgColor rgb="FFF3F5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244A6B"/>
      </patternFill>
    </fill>
    <fill>
      <patternFill patternType="solid">
        <fgColor rgb="FF0D1B2A"/>
      </patternFill>
    </fill>
    <fill>
      <patternFill patternType="solid">
        <fgColor rgb="FF19324A"/>
      </patternFill>
    </fill>
    <fill>
      <patternFill patternType="solid">
        <fgColor rgb="FF14263A"/>
      </patternFill>
    </fill>
    <fill>
      <patternFill patternType="solid">
        <fgColor rgb="FF223B53"/>
      </patternFill>
    </fill>
    <fill>
      <patternFill patternType="solid">
        <fgColor rgb="FF0D1B2A"/>
        <bgColor indexed="64"/>
      </patternFill>
    </fill>
  </fills>
  <borders count="14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  <diagonal/>
    </border>
    <border>
      <left style="thin">
        <color rgb="FF31506B"/>
      </left>
      <right/>
      <top style="thin">
        <color rgb="FF31506B"/>
      </top>
      <bottom style="thin">
        <color rgb="FF31506B"/>
      </bottom>
      <diagonal/>
    </border>
    <border>
      <left/>
      <right/>
      <top style="thin">
        <color rgb="FF31506B"/>
      </top>
      <bottom style="thin">
        <color rgb="FF31506B"/>
      </bottom>
      <diagonal/>
    </border>
    <border>
      <left/>
      <right style="thin">
        <color rgb="FF31506B"/>
      </right>
      <top style="thin">
        <color rgb="FF31506B"/>
      </top>
      <bottom style="thin">
        <color rgb="FF31506B"/>
      </bottom>
      <diagonal/>
    </border>
    <border>
      <left style="thin">
        <color rgb="FF31506B"/>
      </left>
      <right/>
      <top style="thin">
        <color rgb="FF31506B"/>
      </top>
      <bottom/>
      <diagonal/>
    </border>
    <border>
      <left/>
      <right/>
      <top style="thin">
        <color rgb="FF31506B"/>
      </top>
      <bottom/>
      <diagonal/>
    </border>
    <border>
      <left/>
      <right style="thin">
        <color rgb="FF31506B"/>
      </right>
      <top style="thin">
        <color rgb="FF31506B"/>
      </top>
      <bottom/>
      <diagonal/>
    </border>
    <border>
      <left style="thin">
        <color rgb="FF31506B"/>
      </left>
      <right/>
      <top/>
      <bottom/>
      <diagonal/>
    </border>
    <border>
      <left/>
      <right style="thin">
        <color rgb="FF31506B"/>
      </right>
      <top/>
      <bottom/>
      <diagonal/>
    </border>
    <border>
      <left style="thin">
        <color rgb="FF31506B"/>
      </left>
      <right/>
      <top/>
      <bottom style="thin">
        <color rgb="FF31506B"/>
      </bottom>
      <diagonal/>
    </border>
    <border>
      <left/>
      <right/>
      <top/>
      <bottom style="thin">
        <color rgb="FF31506B"/>
      </bottom>
      <diagonal/>
    </border>
    <border>
      <left/>
      <right style="thin">
        <color rgb="FF31506B"/>
      </right>
      <top/>
      <bottom style="thin">
        <color rgb="FF31506B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left" vertical="center"/>
    </xf>
    <xf numFmtId="166" fontId="4" fillId="6" borderId="1" xfId="0" applyNumberFormat="1" applyFont="1" applyFill="1" applyBorder="1" applyAlignment="1">
      <alignment horizontal="left" vertical="center"/>
    </xf>
    <xf numFmtId="167" fontId="4" fillId="6" borderId="1" xfId="0" applyNumberFormat="1" applyFont="1" applyFill="1" applyBorder="1" applyAlignment="1">
      <alignment horizontal="left" vertical="center"/>
    </xf>
    <xf numFmtId="168" fontId="4" fillId="6" borderId="1" xfId="0" applyNumberFormat="1" applyFont="1" applyFill="1" applyBorder="1" applyAlignment="1">
      <alignment horizontal="left" vertical="center"/>
    </xf>
    <xf numFmtId="170" fontId="4" fillId="6" borderId="1" xfId="0" applyNumberFormat="1" applyFont="1" applyFill="1" applyBorder="1" applyAlignment="1">
      <alignment horizontal="left" vertical="center"/>
    </xf>
    <xf numFmtId="17" fontId="4" fillId="6" borderId="1" xfId="0" applyNumberFormat="1" applyFont="1" applyFill="1" applyBorder="1" applyAlignment="1">
      <alignment horizontal="left" vertical="center"/>
    </xf>
    <xf numFmtId="0" fontId="6" fillId="8" borderId="0" xfId="0" applyFont="1" applyFill="1" applyAlignment="1">
      <alignment vertical="center"/>
    </xf>
    <xf numFmtId="171" fontId="12" fillId="10" borderId="11" xfId="0" applyNumberFormat="1" applyFont="1" applyFill="1" applyBorder="1" applyAlignment="1">
      <alignment horizontal="right" vertical="center"/>
    </xf>
    <xf numFmtId="0" fontId="13" fillId="10" borderId="12" xfId="0" applyFont="1" applyFill="1" applyBorder="1" applyAlignment="1">
      <alignment horizontal="left" vertical="center"/>
    </xf>
    <xf numFmtId="171" fontId="5" fillId="10" borderId="12" xfId="0" applyNumberFormat="1" applyFont="1" applyFill="1" applyBorder="1" applyAlignment="1">
      <alignment horizontal="right" vertical="center"/>
    </xf>
    <xf numFmtId="0" fontId="13" fillId="10" borderId="13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167" fontId="6" fillId="10" borderId="1" xfId="0" applyNumberFormat="1" applyFont="1" applyFill="1" applyBorder="1" applyAlignment="1">
      <alignment horizontal="right" vertical="center"/>
    </xf>
    <xf numFmtId="168" fontId="6" fillId="10" borderId="1" xfId="0" applyNumberFormat="1" applyFont="1" applyFill="1" applyBorder="1" applyAlignment="1">
      <alignment horizontal="right" vertical="center"/>
    </xf>
    <xf numFmtId="170" fontId="6" fillId="10" borderId="1" xfId="0" applyNumberFormat="1" applyFont="1" applyFill="1" applyBorder="1" applyAlignment="1">
      <alignment horizontal="right" vertical="center"/>
    </xf>
    <xf numFmtId="164" fontId="17" fillId="6" borderId="1" xfId="0" applyNumberFormat="1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164" fontId="18" fillId="5" borderId="2" xfId="0" applyNumberFormat="1" applyFont="1" applyFill="1" applyBorder="1" applyAlignment="1">
      <alignment horizontal="left" vertical="center"/>
    </xf>
    <xf numFmtId="164" fontId="18" fillId="5" borderId="2" xfId="0" applyNumberFormat="1" applyFont="1" applyFill="1" applyBorder="1" applyAlignment="1">
      <alignment horizontal="right" vertical="center"/>
    </xf>
    <xf numFmtId="165" fontId="18" fillId="5" borderId="2" xfId="0" applyNumberFormat="1" applyFont="1" applyFill="1" applyBorder="1" applyAlignment="1">
      <alignment horizontal="right" vertical="center"/>
    </xf>
    <xf numFmtId="166" fontId="18" fillId="5" borderId="2" xfId="0" applyNumberFormat="1" applyFont="1" applyFill="1" applyBorder="1" applyAlignment="1">
      <alignment horizontal="right" vertical="center"/>
    </xf>
    <xf numFmtId="167" fontId="18" fillId="5" borderId="2" xfId="0" applyNumberFormat="1" applyFont="1" applyFill="1" applyBorder="1" applyAlignment="1">
      <alignment horizontal="right" vertical="center"/>
    </xf>
    <xf numFmtId="168" fontId="18" fillId="5" borderId="2" xfId="0" applyNumberFormat="1" applyFont="1" applyFill="1" applyBorder="1" applyAlignment="1">
      <alignment horizontal="right" vertical="center"/>
    </xf>
    <xf numFmtId="169" fontId="18" fillId="5" borderId="2" xfId="0" applyNumberFormat="1" applyFont="1" applyFill="1" applyBorder="1" applyAlignment="1">
      <alignment horizontal="right" vertical="center"/>
    </xf>
    <xf numFmtId="0" fontId="1" fillId="12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19" fillId="12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7" fillId="9" borderId="3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left" vertical="center"/>
    </xf>
    <xf numFmtId="164" fontId="8" fillId="9" borderId="3" xfId="0" applyNumberFormat="1" applyFont="1" applyFill="1" applyBorder="1" applyAlignment="1">
      <alignment horizontal="left" vertical="center"/>
    </xf>
    <xf numFmtId="164" fontId="8" fillId="9" borderId="4" xfId="0" applyNumberFormat="1" applyFont="1" applyFill="1" applyBorder="1" applyAlignment="1">
      <alignment horizontal="left" vertical="center"/>
    </xf>
    <xf numFmtId="164" fontId="8" fillId="9" borderId="5" xfId="0" applyNumberFormat="1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7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left" vertical="center"/>
    </xf>
    <xf numFmtId="165" fontId="11" fillId="10" borderId="9" xfId="0" applyNumberFormat="1" applyFont="1" applyFill="1" applyBorder="1" applyAlignment="1">
      <alignment horizontal="left" vertical="center"/>
    </xf>
    <xf numFmtId="165" fontId="11" fillId="10" borderId="0" xfId="0" applyNumberFormat="1" applyFont="1" applyFill="1" applyAlignment="1">
      <alignment horizontal="left" vertical="center"/>
    </xf>
    <xf numFmtId="165" fontId="11" fillId="10" borderId="10" xfId="0" applyNumberFormat="1" applyFont="1" applyFill="1" applyBorder="1" applyAlignment="1">
      <alignment horizontal="left" vertical="center"/>
    </xf>
    <xf numFmtId="166" fontId="11" fillId="10" borderId="9" xfId="0" applyNumberFormat="1" applyFont="1" applyFill="1" applyBorder="1" applyAlignment="1">
      <alignment horizontal="left" vertical="center"/>
    </xf>
    <xf numFmtId="166" fontId="11" fillId="10" borderId="0" xfId="0" applyNumberFormat="1" applyFont="1" applyFill="1" applyAlignment="1">
      <alignment horizontal="left" vertical="center"/>
    </xf>
    <xf numFmtId="166" fontId="11" fillId="10" borderId="10" xfId="0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14" fillId="10" borderId="6" xfId="0" applyFont="1" applyFill="1" applyBorder="1" applyAlignment="1">
      <alignment horizontal="left" vertical="center" wrapText="1"/>
    </xf>
    <xf numFmtId="0" fontId="14" fillId="10" borderId="7" xfId="0" applyFont="1" applyFill="1" applyBorder="1" applyAlignment="1">
      <alignment horizontal="left" vertical="center" wrapText="1"/>
    </xf>
    <xf numFmtId="0" fontId="14" fillId="10" borderId="8" xfId="0" applyFont="1" applyFill="1" applyBorder="1" applyAlignment="1">
      <alignment horizontal="left" vertical="center" wrapText="1"/>
    </xf>
    <xf numFmtId="0" fontId="14" fillId="10" borderId="9" xfId="0" applyFont="1" applyFill="1" applyBorder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14" fillId="10" borderId="10" xfId="0" applyFont="1" applyFill="1" applyBorder="1" applyAlignment="1">
      <alignment horizontal="left" vertical="center" wrapText="1"/>
    </xf>
    <xf numFmtId="0" fontId="14" fillId="10" borderId="11" xfId="0" applyFont="1" applyFill="1" applyBorder="1" applyAlignment="1">
      <alignment horizontal="left" vertical="center" wrapText="1"/>
    </xf>
    <xf numFmtId="0" fontId="14" fillId="10" borderId="12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0" fontId="15" fillId="9" borderId="6" xfId="0" applyFont="1" applyFill="1" applyBorder="1" applyAlignment="1">
      <alignment horizontal="left" vertical="center" wrapText="1"/>
    </xf>
    <xf numFmtId="0" fontId="15" fillId="9" borderId="7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left" vertical="center" wrapText="1"/>
    </xf>
    <xf numFmtId="0" fontId="15" fillId="9" borderId="9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left" vertical="center" wrapText="1"/>
    </xf>
    <xf numFmtId="0" fontId="15" fillId="9" borderId="10" xfId="0" applyFont="1" applyFill="1" applyBorder="1" applyAlignment="1">
      <alignment horizontal="left" vertical="center" wrapText="1"/>
    </xf>
    <xf numFmtId="0" fontId="15" fillId="9" borderId="11" xfId="0" applyFont="1" applyFill="1" applyBorder="1" applyAlignment="1">
      <alignment horizontal="left" vertical="center" wrapText="1"/>
    </xf>
    <xf numFmtId="0" fontId="15" fillId="9" borderId="12" xfId="0" applyFont="1" applyFill="1" applyBorder="1" applyAlignment="1">
      <alignment horizontal="left" vertical="center" wrapText="1"/>
    </xf>
    <xf numFmtId="0" fontId="15" fillId="9" borderId="13" xfId="0" applyFont="1" applyFill="1" applyBorder="1" applyAlignment="1">
      <alignment horizontal="left" vertical="center" wrapText="1"/>
    </xf>
    <xf numFmtId="170" fontId="11" fillId="10" borderId="9" xfId="0" applyNumberFormat="1" applyFont="1" applyFill="1" applyBorder="1" applyAlignment="1">
      <alignment horizontal="left" vertical="center"/>
    </xf>
    <xf numFmtId="170" fontId="11" fillId="10" borderId="0" xfId="0" applyNumberFormat="1" applyFont="1" applyFill="1" applyAlignment="1">
      <alignment horizontal="left" vertical="center"/>
    </xf>
    <xf numFmtId="170" fontId="11" fillId="10" borderId="10" xfId="0" applyNumberFormat="1" applyFont="1" applyFill="1" applyBorder="1" applyAlignment="1">
      <alignment horizontal="left" vertical="center"/>
    </xf>
    <xf numFmtId="167" fontId="11" fillId="10" borderId="9" xfId="0" applyNumberFormat="1" applyFont="1" applyFill="1" applyBorder="1" applyAlignment="1">
      <alignment horizontal="left" vertical="center"/>
    </xf>
    <xf numFmtId="167" fontId="11" fillId="10" borderId="0" xfId="0" applyNumberFormat="1" applyFont="1" applyFill="1" applyAlignment="1">
      <alignment horizontal="left" vertical="center"/>
    </xf>
    <xf numFmtId="167" fontId="11" fillId="10" borderId="10" xfId="0" applyNumberFormat="1" applyFont="1" applyFill="1" applyBorder="1" applyAlignment="1">
      <alignment horizontal="left" vertical="center"/>
    </xf>
    <xf numFmtId="168" fontId="11" fillId="10" borderId="9" xfId="0" applyNumberFormat="1" applyFont="1" applyFill="1" applyBorder="1" applyAlignment="1">
      <alignment horizontal="left" vertical="center"/>
    </xf>
    <xf numFmtId="168" fontId="11" fillId="10" borderId="0" xfId="0" applyNumberFormat="1" applyFont="1" applyFill="1" applyAlignment="1">
      <alignment horizontal="left" vertical="center"/>
    </xf>
    <xf numFmtId="168" fontId="11" fillId="10" borderId="10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208" fontId="5" fillId="3" borderId="1" xfId="0" applyFont="1" applyFill="1" applyBorder="1" applyAlignment="1" applyNumberFormat="1">
      <alignment horizontal="center" vertical="center" wrapText="1"/>
    </xf>
    <xf numFmtId="209" fontId="4" fillId="6" borderId="1" xfId="0" applyFont="1" applyFill="1" applyBorder="1" applyAlignment="1" applyNumberFormat="1">
      <alignment horizontal="left" vertical="center"/>
    </xf>
    <xf numFmtId="210" fontId="4" fillId="6" borderId="1" xfId="0" applyNumberFormat="1" applyFont="1" applyFill="1" applyBorder="1" applyAlignment="1">
      <alignment horizontal="left" vertical="center"/>
    </xf>
    <xf numFmtId="211" fontId="4" fillId="6" borderId="1" xfId="0" applyNumberFormat="1" applyFont="1" applyFill="1" applyBorder="1" applyAlignment="1">
      <alignment horizontal="left" vertical="center"/>
    </xf>
    <xf numFmtId="212" fontId="4" fillId="6" borderId="1" xfId="0" applyNumberFormat="1" applyFont="1" applyFill="1" applyBorder="1" applyAlignment="1">
      <alignment horizontal="left" vertical="center"/>
    </xf>
    <xf numFmtId="213" fontId="4" fillId="6" borderId="1" xfId="0" applyNumberFormat="1" applyFont="1" applyFill="1" applyBorder="1" applyAlignment="1">
      <alignment horizontal="left" vertical="center"/>
    </xf>
    <xf numFmtId="214" fontId="4" fillId="6" borderId="1" xfId="0" applyNumberFormat="1" applyFont="1" applyFill="1" applyBorder="1" applyAlignment="1">
      <alignment horizontal="left" vertical="center"/>
    </xf>
    <xf numFmtId="215" fontId="4" fillId="6" borderId="1" xfId="0" applyNumberFormat="1" applyFont="1" applyFill="1" applyBorder="1" applyAlignment="1">
      <alignment horizontal="left" vertical="center"/>
    </xf>
    <xf numFmtId="216" fontId="8" fillId="9" borderId="3" xfId="0" applyNumberFormat="1" applyFont="1" applyFill="1" applyBorder="1" applyAlignment="1">
      <alignment horizontal="left" vertical="center"/>
    </xf>
    <xf numFmtId="217" fontId="17" fillId="6" borderId="1" xfId="0" applyNumberFormat="1" applyFont="1" applyFill="1" applyBorder="1" applyAlignment="1">
      <alignment horizontal="left" vertical="center"/>
    </xf>
    <xf numFmtId="218" fontId="8" fillId="9" borderId="3" xfId="0" applyNumberFormat="1" applyFont="1" applyFill="1" applyBorder="1" applyAlignment="1">
      <alignment horizontal="left" vertical="center"/>
    </xf>
    <xf numFmtId="219" fontId="18" fillId="5" borderId="2" xfId="0" applyNumberFormat="1" applyFont="1" applyFill="1" applyBorder="1" applyAlignment="1">
      <alignment horizontal="right" vertical="center"/>
    </xf>
    <xf numFmtId="220" fontId="18" fillId="5" borderId="2" xfId="0" applyNumberFormat="1" applyFont="1" applyFill="1" applyBorder="1" applyAlignment="1">
      <alignment horizontal="right" vertical="center"/>
    </xf>
    <xf numFmtId="221" fontId="18" fillId="5" borderId="2" xfId="0" applyNumberFormat="1" applyFont="1" applyFill="1" applyBorder="1" applyAlignment="1">
      <alignment horizontal="right" vertical="center"/>
    </xf>
    <xf numFmtId="222" fontId="18" fillId="5" borderId="2" xfId="0" applyNumberFormat="1" applyFont="1" applyFill="1" applyBorder="1" applyAlignment="1">
      <alignment horizontal="right" vertical="center"/>
    </xf>
    <xf numFmtId="223" fontId="18" fillId="5" borderId="2" xfId="0" applyNumberFormat="1" applyFont="1" applyFill="1" applyBorder="1" applyAlignment="1">
      <alignment horizontal="right" vertical="center"/>
    </xf>
    <xf numFmtId="224" fontId="4" fillId="6" borderId="1" xfId="0" applyFont="1" applyFill="1" applyBorder="1" applyAlignment="1" applyNumberFormat="1">
      <alignment horizontal="left" vertical="center"/>
    </xf>
    <xf numFmtId="225" fontId="4" fillId="6" borderId="1" xfId="0" applyNumberFormat="1" applyFont="1" applyFill="1" applyBorder="1" applyAlignment="1">
      <alignment horizontal="left" vertical="center"/>
    </xf>
    <xf numFmtId="226" fontId="4" fillId="6" borderId="1" xfId="0" applyNumberFormat="1" applyFont="1" applyFill="1" applyBorder="1" applyAlignment="1">
      <alignment horizontal="left" vertical="center"/>
    </xf>
    <xf numFmtId="227" fontId="4" fillId="6" borderId="1" xfId="0" applyNumberFormat="1" applyFont="1" applyFill="1" applyBorder="1" applyAlignment="1">
      <alignment horizontal="left" vertical="center"/>
    </xf>
    <xf numFmtId="228" fontId="4" fillId="6" borderId="1" xfId="0" applyNumberFormat="1" applyFont="1" applyFill="1" applyBorder="1" applyAlignment="1">
      <alignment horizontal="left" vertical="center"/>
    </xf>
    <xf numFmtId="229" fontId="4" fillId="6" borderId="1" xfId="0" applyNumberFormat="1" applyFont="1" applyFill="1" applyBorder="1" applyAlignment="1">
      <alignment horizontal="left" vertical="center"/>
    </xf>
    <xf numFmtId="230" fontId="11" fillId="10" borderId="9" xfId="0" applyNumberFormat="1" applyFont="1" applyFill="1" applyBorder="1" applyAlignment="1">
      <alignment horizontal="left" vertical="center"/>
    </xf>
    <xf numFmtId="231" fontId="11" fillId="10" borderId="9" xfId="0" applyNumberFormat="1" applyFont="1" applyFill="1" applyBorder="1" applyAlignment="1">
      <alignment horizontal="left" vertical="center"/>
    </xf>
    <xf numFmtId="232" fontId="11" fillId="10" borderId="9" xfId="0" applyNumberFormat="1" applyFont="1" applyFill="1" applyBorder="1" applyAlignment="1">
      <alignment horizontal="left" vertical="center"/>
    </xf>
    <xf numFmtId="233" fontId="11" fillId="10" borderId="9" xfId="0" applyNumberFormat="1" applyFont="1" applyFill="1" applyBorder="1" applyAlignment="1">
      <alignment horizontal="left" vertical="center"/>
    </xf>
    <xf numFmtId="234" fontId="11" fillId="10" borderId="9" xfId="0" applyNumberFormat="1" applyFont="1" applyFill="1" applyBorder="1" applyAlignment="1">
      <alignment horizontal="left" vertical="center"/>
    </xf>
    <xf numFmtId="235" fontId="5" fillId="10" borderId="1" xfId="0" applyFont="1" applyFill="1" applyBorder="1" applyAlignment="1" applyNumberFormat="1">
      <alignment horizontal="left" vertical="center"/>
    </xf>
    <xf numFmtId="236" fontId="6" fillId="10" borderId="1" xfId="0" applyFont="1" applyFill="1" applyBorder="1" applyAlignment="1" applyNumberFormat="1">
      <alignment horizontal="center" vertical="center"/>
    </xf>
    <xf numFmtId="237" fontId="6" fillId="10" borderId="1" xfId="0" applyNumberFormat="1" applyFont="1" applyFill="1" applyBorder="1" applyAlignment="1">
      <alignment horizontal="right" vertical="center"/>
    </xf>
    <xf numFmtId="238" fontId="6" fillId="10" borderId="1" xfId="0" applyNumberFormat="1" applyFont="1" applyFill="1" applyBorder="1" applyAlignment="1">
      <alignment horizontal="right" vertical="center"/>
    </xf>
    <xf numFmtId="239" fontId="6" fillId="10" borderId="1" xfId="0" applyNumberFormat="1" applyFont="1" applyFill="1" applyBorder="1" applyAlignment="1">
      <alignment horizontal="right" vertical="center"/>
    </xf>
    <xf numFmtId="240" fontId="6" fillId="10" borderId="1" xfId="0" applyNumberFormat="1" applyFont="1" applyFill="1" applyBorder="1" applyAlignment="1">
      <alignment horizontal="right" vertical="center"/>
    </xf>
    <xf numFmtId="241" fontId="6" fillId="10" borderId="1" xfId="0" applyNumberFormat="1" applyFont="1" applyFill="1" applyBorder="1" applyAlignment="1">
      <alignment horizontal="right" vertical="center"/>
    </xf>
    <xf numFmtId="242" fontId="6" fillId="10" borderId="1" xfId="0" applyNumberFormat="1" applyFont="1" applyFill="1" applyBorder="1" applyAlignment="1">
      <alignment horizontal="right" vertical="center"/>
    </xf>
    <xf numFmtId="243" fontId="5" fillId="10" borderId="12" xfId="0" applyNumberFormat="1" applyFont="1" applyFill="1" applyBorder="1" applyAlignment="1">
      <alignment horizontal="right" vertical="center"/>
    </xf>
    <xf numFmtId="244" fontId="5" fillId="10" borderId="12" xfId="0" applyNumberFormat="1" applyFont="1" applyFill="1" applyBorder="1" applyAlignment="1">
      <alignment horizontal="right" vertical="center"/>
    </xf>
    <xf numFmtId="245" fontId="4" fillId="6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color rgb="FFB3261E"/>
      </font>
      <fill>
        <patternFill patternType="solid">
          <bgColor rgb="FFF4CCCC"/>
        </patternFill>
      </fill>
    </dxf>
    <dxf>
      <font>
        <b/>
        <color rgb="FF8A64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D9EAD3"/>
        </patternFill>
      </fill>
    </dxf>
  </dxfs>
  <tableStyles count="0" defaultTableStyle="TableStyleMedium2" defaultPivotStyle="PivotStyleLight16"/>
  <colors>
    <mruColors>
      <color rgb="FF0D1B2A"/>
    </mru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calcChain" Target="calcChain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ns0:Relationship Id="rIdRuns" Type="http://schemas.openxmlformats.org/officeDocument/2006/relationships/worksheet" Target="worksheets/sheet4.xml" /></ns0: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4/chart">
  <ns0:date1904 val="0"/>
  <ns0:lang val="en-US"/>
  <ns0:roundedCorners val="1"/>
  <ns0:style val="2"/>
  <ns0:chart>
    <ns0:title>
      <ns0:tx>
        <ns0:rich>
          <ns1:bodyPr/>
          <ns1:lstStyle/>
          <ns1:p>
            <ns1:pPr lvl="0">
              <ns1:defRPr b="0">
                <ns1:solidFill>
                  <ns1:srgbClr val="A7B6C8"/>
                </ns1:solidFill>
                <ns1:latin typeface="Arial"/>
              </ns1:defRPr>
            </ns1:pPr>
            <ns1:r>
              <ns1:rPr lang="en-US" b="0">
                <ns1:solidFill>
                  <ns1:srgbClr val="A7B6C8"/>
                </ns1:solidFill>
                <ns1:latin typeface="Arial"/>
              </ns1:rPr>
              <ns1:t>Frame p95 by case (ms)</ns1:t>
            </ns1:r>
          </ns1:p>
        </ns0:rich>
      </ns0:tx>
      <ns0:overlay val="0"/>
    </ns0:title>
    <ns0:autoTitleDeleted val="0"/>
    <ns0:plotArea>
      <ns0:layout/>
      <ns0:lineChart>
        <ns0:grouping val="standard"/>
        <ns0:varyColors val="1"/>
        <ns0:ser>
          <ns0:idx val="0"/>
          <ns0:order val="0"/>
          <ns0:tx>
            <ns0:v>Frame p95</ns0:v>
          </ns0:tx>
          <ns0:spPr>
            <ns1:ln w="28575" cmpd="sng">
              <ns1:solidFill>
                <ns1:srgbClr val="43D3FF">
                  <ns1:alpha val="100000"/>
                </ns1:srgbClr>
              </ns1:solidFill>
            </ns1:ln>
          </ns0:spPr>
          <ns0:marker>
            <ns0:symbol val="none"/>
          </ns0:marker>
          <ns0:cat>
            <ns0:strRef>
              <ns0:f>'_Chart Helpers'!$H$2:$H$13</ns0:f>
            </ns0:strRef>
          </ns0:cat>
          <ns0:val>
            <ns0:numRef>
              <ns0:f>'_Chart Helpers'!$I$2:$I$13</ns0:f>
              <ns0:numCache>
                <ns0:formatCode>General</ns0:formatCode>
                <ns0:ptCount val="12"/>
                <ns0:pt idx="0">
                  <ns0:v>10.091424999998821</ns0:v>
                </ns0:pt>
                <ns0:pt idx="1">
                  <ns0:v>10.030900000000287</ns0:v>
                </ns0:pt>
                <ns0:pt idx="2">
                  <ns0:v>9.326940999997646</ns0:v>
                </ns0:pt>
                <ns0:pt idx="3">
                  <ns0:v>9.632240000001957</ns0:v>
                </ns0:pt>
                <ns0:pt idx="4">
                  <ns0:v>9.858533999999253</ns0:v>
                </ns0:pt>
                <ns0:pt idx="5">
                  <ns0:v>9.8979589999999</ns0:v>
                </ns0:pt>
                <ns0:pt idx="6">
                  <ns0:v>10.434391000000431</ns0:v>
                </ns0:pt>
                <ns0:pt idx="7">
                  <ns0:v>9.37986799999635</ns0:v>
                </ns0:pt>
                <ns0:pt idx="8">
                  <ns0:v>9.511491999999677</ns0:v>
                </ns0:pt>
                <ns0:pt idx="9">
                  <ns0:v>9.613575000003038</ns0:v>
                </ns0:pt>
                <ns0:pt idx="10">
                  <ns0:v>9.810649999991483</ns0:v>
                </ns0:pt>
                <ns0:pt idx="11">
                  <ns0:v>9.653440000001012</ns0:v>
                </ns0:pt>
              </ns0:numCache>
            </ns0:numRef>
          </ns0:val>
          <ns0:smooth val="0"/>
          <ns0:extLst>
            <ns0:ext uri="{C3380CC4-5D6E-409C-BE32-E72D297353CC}">
              <ns2:uniqueId val="{00000000-9876-0244-949C-1A057B067B2B}"/>
            </ns0:ext>
          </ns0:extLst>
        </ns0:ser>
        <ns0:ser>
          <ns0:idx val="1"/>
          <ns0:order val="1"/>
          <ns0:tx>
            <ns0:v>Target</ns0:v>
          </ns0:tx>
          <ns0:spPr>
            <ns1:ln w="28575" cmpd="sng">
              <ns1:solidFill>
                <ns1:srgbClr val="FBBF24">
                  <ns1:alpha val="100000"/>
                </ns1:srgbClr>
              </ns1:solidFill>
            </ns1:ln>
          </ns0:spPr>
          <ns0:marker>
            <ns0:symbol val="none"/>
          </ns0:marker>
          <ns0:cat>
            <ns0:strRef>
              <ns0:f>'_Chart Helpers'!$H$2:$H$13</ns0:f>
            </ns0:strRef>
          </ns0:cat>
          <ns0:val>
            <ns0:numRef>
              <ns0:f>'_Chart Helpers'!$J$2:$J$13</ns0:f>
              <ns0:numCache>
                <ns0:formatCode>General</ns0:formatCode>
                <ns0:ptCount val="12"/>
                <ns0:pt idx="0">
                  <ns0:v>20</ns0:v>
                </ns0:pt>
                <ns0:pt idx="1">
                  <ns0:v>20</ns0:v>
                </ns0:pt>
                <ns0:pt idx="2">
                  <ns0:v>20</ns0:v>
                </ns0:pt>
                <ns0:pt idx="3">
                  <ns0:v>20</ns0:v>
                </ns0:pt>
                <ns0:pt idx="4">
                  <ns0:v>20</ns0:v>
                </ns0:pt>
                <ns0:pt idx="5">
                  <ns0:v>20</ns0:v>
                </ns0:pt>
                <ns0:pt idx="6">
                  <ns0:v>20</ns0:v>
                </ns0:pt>
                <ns0:pt idx="7">
                  <ns0:v>20</ns0:v>
                </ns0:pt>
                <ns0:pt idx="8">
                  <ns0:v>20</ns0:v>
                </ns0:pt>
                <ns0:pt idx="9">
                  <ns0:v>20</ns0:v>
                </ns0:pt>
                <ns0:pt idx="10">
                  <ns0:v>20</ns0:v>
                </ns0:pt>
                <ns0:pt idx="11">
                  <ns0:v>20</ns0:v>
                </ns0:pt>
              </ns0:numCache>
            </ns0:numRef>
          </ns0:val>
          <ns0:smooth val="0"/>
          <ns0:extLst>
            <ns0:ext uri="{C3380CC4-5D6E-409C-BE32-E72D297353CC}">
              <ns2:uniqueId val="{00000001-9876-0244-949C-1A057B067B2B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</ns0:dLbls>
        <ns0:smooth val="0"/>
        <ns0:axId val="571038433"/>
        <ns0:axId val="982302182"/>
      </ns0:lineChart>
      <ns0:catAx>
        <ns0:axId val="571038433"/>
        <ns0:scaling>
          <ns0:orientation val="minMax"/>
        </ns0:scaling>
        <ns0:delete val="0"/>
        <ns0:axPos val="b"/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982302182"/>
        <ns0:crosses val="autoZero"/>
        <ns0:auto val="1"/>
        <ns0:lblAlgn val="ctr"/>
        <ns0:lblOffset val="100"/>
        <ns0:noMultiLvlLbl val="1"/>
      </ns0:catAx>
      <ns0:valAx>
        <ns0:axId val="982302182"/>
        <ns0:scaling>
          <ns0:orientation val="minMax"/>
        </ns0:scaling>
        <ns0:delete val="0"/>
        <ns0:axPos val="l"/>
        <ns0:majorGridlines>
          <ns0:spPr>
            <ns1:ln>
              <ns1:solidFill>
                <ns1:srgbClr val="2E4052"/>
              </ns1:solidFill>
            </ns1:ln>
          </ns0:spPr>
        </ns0:majorGridlines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571038433"/>
        <ns0:crosses val="autoZero"/>
        <ns0:crossBetween val="between"/>
      </ns0:valAx>
      <ns0:spPr>
        <ns1:solidFill>
          <ns1:srgbClr val="16212C"/>
        </ns1:solidFill>
      </ns0:spPr>
    </ns0:plotArea>
    <ns0:legend>
      <ns0:legendPos val="b"/>
      <ns0:overlay val="0"/>
      <ns0:txPr>
        <ns1:bodyPr/>
        <ns1:lstStyle/>
        <ns1:p>
          <ns1:pPr lvl="0">
            <ns1:defRPr b="1" i="0">
              <ns1:solidFill>
                <ns1:srgbClr val="A7B6C8"/>
              </ns1:solidFill>
              <ns1:latin typeface="Arial"/>
            </ns1:defRPr>
          </ns1:pPr>
          <ns1:endParaRPr lang="en-US"/>
        </ns1:p>
      </ns0:txPr>
    </ns0:legend>
    <ns0:plotVisOnly val="1"/>
    <ns0:dispBlanksAs val="gap"/>
    <ns0:showDLblsOverMax val="1"/>
  </ns0:chart>
  <ns0:spPr>
    <ns1:solidFill>
      <ns1:srgbClr val="16212C"/>
    </ns1:solidFill>
  </ns0:spPr>
  <ns0:printSettings>
    <ns0:headerFooter/>
    <ns0:pageMargins b="0.75" l="0.7" r="0.7" t="0.75" header="0.3" footer="0.3"/>
    <ns0:pageSetup/>
  </ns0:printSettings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07/8/2/chart" xmlns:ns3="http://schemas.microsoft.com/office/drawing/2014/chart">
  <ns0:date1904 val="0"/>
  <ns0:lang val="en-US"/>
  <ns0:roundedCorners val="1"/>
  <ns0:style val="2"/>
  <ns0:chart>
    <ns0:title>
      <ns0:tx>
        <ns0:rich>
          <ns1:bodyPr/>
          <ns1:lstStyle/>
          <ns1:p>
            <ns1:pPr lvl="0">
              <ns1:defRPr b="0">
                <ns1:solidFill>
                  <ns1:srgbClr val="A7B6C8"/>
                </ns1:solidFill>
                <ns1:latin typeface="Arial"/>
              </ns1:defRPr>
            </ns1:pPr>
            <ns1:r>
              <ns1:rPr lang="en-US" b="0">
                <ns1:solidFill>
                  <ns1:srgbClr val="A7B6C8"/>
                </ns1:solidFill>
                <ns1:latin typeface="Arial"/>
              </ns1:rPr>
              <ns1:t>Age p95 by case (ms)</ns1:t>
            </ns1:r>
          </ns1:p>
        </ns0:rich>
      </ns0:tx>
      <ns0:overlay val="0"/>
    </ns0:title>
    <ns0:autoTitleDeleted val="0"/>
    <ns0:plotArea>
      <ns0:layout/>
      <ns0:barChart>
        <ns0:barDir val="col"/>
        <ns0:grouping val="clustered"/>
        <ns0:varyColors val="1"/>
        <ns0:ser>
          <ns0:idx val="0"/>
          <ns0:order val="0"/>
          <ns0:tx>
            <ns0:v>Age p95</ns0:v>
          </ns0:tx>
          <ns0:spPr>
            <ns1:solidFill>
              <ns1:srgbClr val="34D399"/>
            </ns1:solidFill>
            <ns1:ln cmpd="sng">
              <ns1:noFill/>
            </ns1:ln>
          </ns0:spPr>
          <ns0:invertIfNegative val="1"/>
          <ns0:cat>
            <ns0:strRef>
              <ns0:f>'_Chart Helpers'!$L$2:$L$13</ns0:f>
            </ns0:strRef>
          </ns0:cat>
          <ns0:val>
            <ns0:numRef>
              <ns0:f>'_Chart Helpers'!$M$2:$M$13</ns0:f>
              <ns0:numCache>
                <ns0:formatCode>General</ns0:formatCode>
                <ns0:ptCount val="12"/>
                <ns0:pt idx="0">
                  <ns0:v>40.70787000000564</ns0:v>
                </ns0:pt>
                <ns0:pt idx="1">
                  <ns0:v>40.64384099999734</ns0:v>
                </ns0:pt>
                <ns0:pt idx="2">
                  <ns0:v>40.464389000000665</ns0:v>
                </ns0:pt>
                <ns0:pt idx="3">
                  <ns0:v>40.66582400000152</ns0:v>
                </ns0:pt>
                <ns0:pt idx="4">
                  <ns0:v>40.61235000000306</ns0:v>
                </ns0:pt>
                <ns0:pt idx="5">
                  <ns0:v>40.81647299999895</ns0:v>
                </ns0:pt>
                <ns0:pt idx="6">
                  <ns0:v>40.973307000000204</ns0:v>
                </ns0:pt>
                <ns0:pt idx="7">
                  <ns0:v>40.66573300000164</ns0:v>
                </ns0:pt>
                <ns0:pt idx="8">
                  <ns0:v>40.55729199999769</ns0:v>
                </ns0:pt>
                <ns0:pt idx="9">
                  <ns0:v>40.72931900000003</ns0:v>
                </ns0:pt>
                <ns0:pt idx="10">
                  <ns0:v>40.52105599999777</ns0:v>
                </ns0:pt>
                <ns0:pt idx="11">
                  <ns0:v>40.6436920000051</ns0:v>
                </ns0:pt>
              </ns0:numCache>
            </ns0:numRef>
          </ns0:val>
          <ns0:extLst>
            <ns0:ext uri="{6F2FDCE9-48DA-4B69-8628-5D25D57E5C99}">
              <ns2:invertSolidFillFmt>
                <ns2:spPr>
                  <ns1:solidFill>
                    <ns1:srgbClr val="FFFFFF"/>
                  </ns1:solidFill>
                  <ns1:ln cmpd="sng">
                    <ns1:noFill/>
                  </ns1:ln>
                </ns2:spPr>
              </ns2:invertSolidFillFmt>
            </ns0:ext>
            <ns0:ext uri="{C3380CC4-5D6E-409C-BE32-E72D297353CC}">
              <ns3:uniqueId val="{00000000-D46F-014F-90B2-20159FAFAAFC}"/>
            </ns0:ext>
          </ns0:extLst>
        </ns0:ser>
        <ns0:ser>
          <ns0:idx val="1"/>
          <ns0:order val="1"/>
          <ns0:tx>
            <ns0:v>Target</ns0:v>
          </ns0:tx>
          <ns0:spPr>
            <ns1:solidFill>
              <ns1:srgbClr val="E97132"/>
            </ns1:solidFill>
            <ns1:ln cmpd="sng">
              <ns1:noFill/>
            </ns1:ln>
          </ns0:spPr>
          <ns0:invertIfNegative val="1"/>
          <ns0:cat>
            <ns0:strRef>
              <ns0:f>'_Chart Helpers'!$L$2:$L$13</ns0:f>
            </ns0:strRef>
          </ns0:cat>
          <ns0:val>
            <ns0:numRef>
              <ns0:f>'_Chart Helpers'!$N$2:$N$13</ns0:f>
              <ns0:numCache>
                <ns0:formatCode>General</ns0:formatCode>
                <ns0:ptCount val="12"/>
                <ns0:pt idx="0">
                  <ns0:v>100</ns0:v>
                </ns0:pt>
                <ns0:pt idx="1">
                  <ns0:v>100</ns0:v>
                </ns0:pt>
                <ns0:pt idx="2">
                  <ns0:v>100</ns0:v>
                </ns0:pt>
                <ns0:pt idx="3">
                  <ns0:v>100</ns0:v>
                </ns0:pt>
                <ns0:pt idx="4">
                  <ns0:v>100</ns0:v>
                </ns0:pt>
                <ns0:pt idx="5">
                  <ns0:v>100</ns0:v>
                </ns0:pt>
                <ns0:pt idx="6">
                  <ns0:v>100</ns0:v>
                </ns0:pt>
                <ns0:pt idx="7">
                  <ns0:v>100</ns0:v>
                </ns0:pt>
                <ns0:pt idx="8">
                  <ns0:v>100</ns0:v>
                </ns0:pt>
                <ns0:pt idx="9">
                  <ns0:v>100</ns0:v>
                </ns0:pt>
                <ns0:pt idx="10">
                  <ns0:v>100</ns0:v>
                </ns0:pt>
                <ns0:pt idx="11">
                  <ns0:v>100</ns0:v>
                </ns0:pt>
              </ns0:numCache>
            </ns0:numRef>
          </ns0:val>
          <ns0:extLst>
            <ns0:ext uri="{6F2FDCE9-48DA-4B69-8628-5D25D57E5C99}">
              <ns2:invertSolidFillFmt>
                <ns2:spPr>
                  <ns1:solidFill>
                    <ns1:srgbClr val="FFFFFF"/>
                  </ns1:solidFill>
                  <ns1:ln cmpd="sng">
                    <ns1:noFill/>
                  </ns1:ln>
                </ns2:spPr>
              </ns2:invertSolidFillFmt>
            </ns0:ext>
            <ns0:ext uri="{C3380CC4-5D6E-409C-BE32-E72D297353CC}">
              <ns3:uniqueId val="{00000001-D46F-014F-90B2-20159FAFAAFC}"/>
            </ns0:ext>
          </ns0:extLst>
        </ns0:ser>
        <ns0:dLbls>
          <ns0:showLegendKey val="0"/>
          <ns0:showVal val="0"/>
          <ns0:showCatName val="0"/>
          <ns0:showSerName val="0"/>
          <ns0:showPercent val="0"/>
          <ns0:showBubbleSize val="0"/>
        </ns0:dLbls>
        <ns0:gapWidth val="150"/>
        <ns0:axId val="376762807"/>
        <ns0:axId val="1313677059"/>
      </ns0:barChart>
      <ns0:catAx>
        <ns0:axId val="376762807"/>
        <ns0:scaling>
          <ns0:orientation val="minMax"/>
        </ns0:scaling>
        <ns0:delete val="0"/>
        <ns0:axPos val="b"/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1313677059"/>
        <ns0:crosses val="autoZero"/>
        <ns0:auto val="1"/>
        <ns0:lblAlgn val="ctr"/>
        <ns0:lblOffset val="100"/>
        <ns0:noMultiLvlLbl val="1"/>
      </ns0:catAx>
      <ns0:valAx>
        <ns0:axId val="1313677059"/>
        <ns0:scaling>
          <ns0:orientation val="minMax"/>
        </ns0:scaling>
        <ns0:delete val="0"/>
        <ns0:axPos val="l"/>
        <ns0:majorGridlines>
          <ns0:spPr>
            <ns1:ln>
              <ns1:solidFill>
                <ns1:srgbClr val="2E4052"/>
              </ns1:solidFill>
            </ns1:ln>
          </ns0:spPr>
        </ns0:majorGridlines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376762807"/>
        <ns0:crosses val="autoZero"/>
        <ns0:crossBetween val="between"/>
      </ns0:valAx>
      <ns0:spPr>
        <ns1:solidFill>
          <ns1:srgbClr val="16212C"/>
        </ns1:solidFill>
      </ns0:spPr>
    </ns0:plotArea>
    <ns0:legend>
      <ns0:legendPos val="b"/>
      <ns0:overlay val="0"/>
      <ns0:txPr>
        <ns1:bodyPr/>
        <ns1:lstStyle/>
        <ns1:p>
          <ns1:pPr lvl="0">
            <ns1:defRPr b="1" i="0">
              <ns1:solidFill>
                <ns1:srgbClr val="A7B6C8"/>
              </ns1:solidFill>
              <ns1:latin typeface="Arial"/>
            </ns1:defRPr>
          </ns1:pPr>
          <ns1:endParaRPr lang="en-US"/>
        </ns1:p>
      </ns0:txPr>
    </ns0:legend>
    <ns0:plotVisOnly val="1"/>
    <ns0:dispBlanksAs val="gap"/>
    <ns0:showDLblsOverMax val="1"/>
  </ns0:chart>
  <ns0:spPr>
    <ns1:solidFill>
      <ns1:srgbClr val="16212C"/>
    </ns1:solidFill>
  </ns0:spPr>
  <ns0:printSettings>
    <ns0:headerFooter/>
    <ns0:pageMargins b="0.75" l="0.7" r="0.7" t="0.75" header="0.3" footer="0.3"/>
    <ns0:pageSetup/>
  </ns0:printSettings>
</ns0:chartSpace>
</file>

<file path=xl/charts/chart3.xml><?xml version="1.0" encoding="utf-8"?>
<ns0:chartSpace xmlns:ns0="http://schemas.openxmlformats.org/drawingml/2006/chart" xmlns:ns1="http://schemas.openxmlformats.org/drawingml/2006/main" xmlns:ns2="http://schemas.microsoft.com/office/drawing/2007/8/2/chart" xmlns:ns3="http://schemas.microsoft.com/office/drawing/2014/chart">
  <ns0:date1904 val="0"/>
  <ns0:lang val="en-US"/>
  <ns0:roundedCorners val="1"/>
  <ns0:style val="2"/>
  <ns0:chart>
    <ns0:title>
      <ns0:tx>
        <ns0:rich>
          <ns1:bodyPr/>
          <ns1:lstStyle/>
          <ns1:p>
            <ns1:pPr lvl="0">
              <ns1:defRPr b="0">
                <ns1:solidFill>
                  <ns1:srgbClr val="A7B6C8"/>
                </ns1:solidFill>
                <ns1:latin typeface="Arial"/>
              </ns1:defRPr>
            </ns1:pPr>
            <ns1:r>
              <ns1:rPr lang="en-US" b="0">
                <ns1:solidFill>
                  <ns1:srgbClr val="A7B6C8"/>
                </ns1:solidFill>
                <ns1:latin typeface="Arial"/>
              </ns1:rPr>
              <ns1:t>Frame intervals</ns1:t>
            </ns1:r>
          </ns1:p>
        </ns0:rich>
      </ns0:tx>
      <ns0:overlay val="0"/>
    </ns0:title>
    <ns0:autoTitleDeleted val="0"/>
    <ns0:plotArea>
      <ns0:layout/>
      <ns0:barChart>
        <ns0:barDir val="bar"/>
        <ns0:grouping val="clustered"/>
        <ns0:varyColors val="1"/>
        <ns0:ser>
          <ns0:idx val="0"/>
          <ns0:order val="0"/>
          <ns0:tx>
            <ns0:v>Frames</ns0:v>
          </ns0:tx>
          <ns0:spPr>
            <ns1:solidFill>
              <ns1:srgbClr val="43D3FF"/>
            </ns1:solidFill>
            <ns1:ln cmpd="sng">
              <ns1:noFill/>
            </ns1:ln>
          </ns0:spPr>
          <ns0:invertIfNegative val="1"/>
          <ns0:cat>
            <ns0:strRef>
              <ns0:f>'_Chart Helpers'!$P$2:$P$6</ns0:f>
            </ns0:strRef>
          </ns0:cat>
          <ns0:val>
            <ns0:numRef>
              <ns0:f>'_Chart Helpers'!$Q$2:$Q$6</ns0:f>
              <ns0:numCache>
                <ns0:formatCode>General</ns0:formatCode>
                <ns0:ptCount val="5"/>
                <ns0:pt idx="0">
                  <ns0:v>250923</ns0:v>
                </ns0:pt>
                <ns0:pt idx="1">
                  <ns0:v>6960</ns0:v>
                </ns0:pt>
                <ns0:pt idx="2">
                  <ns0:v>60</ns0:v>
                </ns0:pt>
                <ns0:pt idx="3">
                  <ns0:v>189</ns0:v>
                </ns0:pt>
                <ns0:pt idx="4">
                  <ns0:v>2</ns0:v>
                </ns0:pt>
              </ns0:numCache>
            </ns0:numRef>
          </ns0:val>
          <ns0:extLst>
            <ns0:ext uri="{6F2FDCE9-48DA-4B69-8628-5D25D57E5C99}">
              <ns2:invertSolidFillFmt>
                <ns2:spPr>
                  <ns1:solidFill>
                    <ns1:srgbClr val="FFFFFF"/>
                  </ns1:solidFill>
                  <ns1:ln cmpd="sng">
                    <ns1:noFill/>
                  </ns1:ln>
                </ns2:spPr>
              </ns2:invertSolidFillFmt>
            </ns0:ext>
            <ns0:ext uri="{C3380CC4-5D6E-409C-BE32-E72D297353CC}">
              <ns3:uniqueId val="{00000000-AFB5-2748-82AB-892FB9686244}"/>
            </ns0:ext>
          </ns0:extLst>
        </ns0:ser>
        <ns0:gapWidth val="150"/>
        <ns0:axId val="1442910587"/>
        <ns0:axId val="2009006557"/>
      </ns0:barChart>
      <ns0:catAx>
        <ns0:axId val="1442910587"/>
        <ns0:scaling>
          <ns0:orientation val="maxMin"/>
        </ns0:scaling>
        <ns0:delete val="0"/>
        <ns0:axPos val="l"/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2009006557"/>
        <ns0:crosses val="autoZero"/>
        <ns0:auto val="1"/>
        <ns0:lblAlgn val="ctr"/>
        <ns0:lblOffset val="100"/>
        <ns0:noMultiLvlLbl val="1"/>
      </ns0:catAx>
      <ns0:valAx>
        <ns0:axId val="2009006557"/>
        <ns0:scaling>
          <ns0:logBase val="10"/>
          <ns0:orientation val="minMax"/>
        </ns0:scaling>
        <ns0:delete val="0"/>
        <ns0:axPos val="b"/>
        <ns0:majorGridlines>
          <ns0:spPr>
            <ns1:ln>
              <ns1:solidFill>
                <ns1:srgbClr val="2E4052"/>
              </ns1:solidFill>
            </ns1:ln>
          </ns0:spPr>
        </ns0:majorGridlines>
        <ns0:numFmt formatCode="0.0" sourceLinked="0"/>
        <ns0:majorTickMark val="none"/>
        <ns0:minorTickMark val="none"/>
        <ns0:tickLblPos val="nextTo"/>
        <ns0:spPr>
          <ns1:ln>
            <ns1:noFill/>
          </ns1:ln>
        </ns0:spPr>
        <ns0:txPr>
          <ns1:bodyPr/>
          <ns1:lstStyle/>
          <ns1:p>
            <ns1:pPr lvl="0">
              <ns1:defRPr sz="1000" b="1" i="0">
                <ns1:solidFill>
                  <ns1:srgbClr val="A7B6C8"/>
                </ns1:solidFill>
                <ns1:latin typeface="Arial"/>
              </ns1:defRPr>
            </ns1:pPr>
            <ns1:endParaRPr lang="en-US"/>
          </ns1:p>
        </ns0:txPr>
        <ns0:crossAx val="1442910587"/>
        <ns0:crosses val="max"/>
        <ns0:crossBetween val="between"/>
      </ns0:valAx>
      <ns0:spPr>
        <ns1:solidFill>
          <ns1:srgbClr val="16212C"/>
        </ns1:solidFill>
      </ns0:spPr>
    </ns0:plotArea>
    <ns0:plotVisOnly val="1"/>
    <ns0:dispBlanksAs val="gap"/>
    <ns0:showDLblsOverMax val="1"/>
  </ns0:chart>
  <ns0:spPr>
    <ns1:solidFill>
      <ns1:srgbClr val="16212C"/>
    </ns1:solidFill>
  </ns0:spPr>
  <ns0:printSettings>
    <ns0:headerFooter/>
    <ns0:pageMargins b="0.75" l="0.7" r="0.7" t="0.75" header="0.3" footer="0.3"/>
    <ns0:pageSetup/>
  </ns0:printSettings>
</ns0:chartSpace>
</file>

<file path=xl/charts/chart4.xml><?xml version="1.0" encoding="utf-8"?>
<ns0:chartSpace xmlns:ns0="http://schemas.openxmlformats.org/drawingml/2006/chart" xmlns:ns1="http://schemas.openxmlformats.org/drawingml/2006/main" xmlns:ns2="http://schemas.microsoft.com/office/drawing/2014/chart">
  <ns0:date1904 val="0"/>
  <ns0:lang val="en-US"/>
  <ns0:roundedCorners val="1"/>
  <ns0:style val="2"/>
  <ns0:chart>
    <ns0:title>
      <ns0:tx>
        <ns0:rich>
          <ns1:bodyPr/>
          <ns1:lstStyle/>
          <ns1:p>
            <ns1:pPr lvl="0">
              <ns1:defRPr b="0">
                <ns1:solidFill>
                  <ns1:srgbClr val="A7B6C8"/>
                </ns1:solidFill>
                <ns1:latin typeface="Arial"/>
              </ns1:defRPr>
            </ns1:pPr>
            <ns1:r>
              <ns1:rPr lang="en-US" b="0">
                <ns1:solidFill>
                  <ns1:srgbClr val="A7B6C8"/>
                </ns1:solidFill>
                <ns1:latin typeface="Arial"/>
              </ns1:rPr>
              <ns1:t>Case verdicts</ns1:t>
            </ns1:r>
          </ns1:p>
        </ns0:rich>
      </ns0:tx>
      <ns0:overlay val="0"/>
    </ns0:title>
    <ns0:autoTitleDeleted val="0"/>
    <ns0:plotArea>
      <ns0:layout/>
      <ns0:pieChart>
        <ns0:varyColors val="1"/>
        <ns0:ser>
          <ns0:idx val="0"/>
          <ns0:order val="0"/>
          <ns0:dPt>
            <ns0:idx val="0"/>
            <ns0:bubble3D val="0"/>
            <ns0:spPr>
              <ns1:solidFill>
                <ns1:srgbClr val="156082"/>
              </ns1:solidFill>
            </ns0:spPr>
            <ns0:extLst>
              <ns0:ext uri="{C3380CC4-5D6E-409C-BE32-E72D297353CC}">
                <ns2:uniqueId val="{00000001-DD90-E346-84D4-5EE721384D62}"/>
              </ns0:ext>
            </ns0:extLst>
          </ns0:dPt>
          <ns0:dPt>
            <ns0:idx val="1"/>
            <ns0:bubble3D val="0"/>
            <ns0:spPr>
              <ns1:solidFill>
                <ns1:srgbClr val="E97132"/>
              </ns1:solidFill>
            </ns0:spPr>
            <ns0:extLst>
              <ns0:ext uri="{C3380CC4-5D6E-409C-BE32-E72D297353CC}">
                <ns2:uniqueId val="{00000003-DD90-E346-84D4-5EE721384D62}"/>
              </ns0:ext>
            </ns0:extLst>
          </ns0:dPt>
          <ns0:dPt>
            <ns0:idx val="2"/>
            <ns0:bubble3D val="0"/>
            <ns0:spPr>
              <ns1:solidFill>
                <ns1:srgbClr val="196B24"/>
              </ns1:solidFill>
            </ns0:spPr>
            <ns0:extLst>
              <ns0:ext uri="{C3380CC4-5D6E-409C-BE32-E72D297353CC}">
                <ns2:uniqueId val="{00000005-DD90-E346-84D4-5EE721384D62}"/>
              </ns0:ext>
            </ns0:extLst>
          </ns0:dPt>
          <ns0:dPt>
            <ns0:idx val="3"/>
            <ns0:bubble3D val="0"/>
            <ns0:spPr>
              <ns1:solidFill>
                <ns1:srgbClr val="0F9ED5"/>
              </ns1:solidFill>
            </ns0:spPr>
            <ns0:extLst>
              <ns0:ext uri="{C3380CC4-5D6E-409C-BE32-E72D297353CC}">
                <ns2:uniqueId val="{00000007-DD90-E346-84D4-5EE721384D62}"/>
              </ns0:ext>
            </ns0:extLst>
          </ns0:dPt>
          <ns0:cat>
            <ns0:strRef>
              <ns0:f>'_Chart Helpers'!$S$2:$S$5</ns0:f>
            </ns0:strRef>
          </ns0:cat>
          <ns0:val>
            <ns0:numRef>
              <ns0:f>'_Chart Helpers'!$T$2:$T$5</ns0:f>
              <ns0:numCache>
                <ns0:formatCode>General</ns0:formatCode>
                <ns0:ptCount val="4"/>
                <ns0:pt idx="0">
                  <ns0:v>12</ns0:v>
                </ns0:pt>
                <ns0:pt idx="1">
                  <ns0:v>0</ns0:v>
                </ns0:pt>
                <ns0:pt idx="2">
                  <ns0:v>0</ns0:v>
                </ns0:pt>
                <ns0:pt idx="3">
                  <ns0:v>0</ns0:v>
                </ns0:pt>
              </ns0:numCache>
            </ns0:numRef>
          </ns0:val>
          <ns0:extLst>
            <ns0:ext uri="{C3380CC4-5D6E-409C-BE32-E72D297353CC}">
              <ns2:uniqueId val="{00000008-DD90-E346-84D4-5EE721384D62}"/>
            </ns0:ext>
          </ns0:extLst>
        </ns0:ser>
        <ns0:firstSliceAng val="0"/>
        <ns0:dLbls>
          <ns0:numFmt formatCode="0" sourceLinked="0"/>
          <ns0:txPr>
            <ns1:bodyPr/>
            <ns1:lstStyle/>
            <ns1:p>
              <ns1:pPr>
                <ns1:defRPr sz="1100">
                  <ns1:solidFill>
                    <ns1:srgbClr val="D7E2EC"/>
                  </ns1:solidFill>
                </ns1:defRPr>
              </ns1:pPr>
            </ns1:p>
          </ns0:txPr>
          <ns0:dLblPos val="ctr"/>
          <ns0:showLegendKey val="0"/>
          <ns0:showVal val="1"/>
          <ns0:showCatName val="0"/>
          <ns0:showSerName val="0"/>
          <ns0:showPercent val="0"/>
        </ns0:dLbls>
      </ns0:pieChart>
      <ns0:spPr>
        <ns1:solidFill>
          <ns1:srgbClr val="16212C"/>
        </ns1:solidFill>
      </ns0:spPr>
    </ns0:plotArea>
    <ns0:legend>
      <ns0:legendPos val="b"/>
      <ns0:overlay val="0"/>
      <ns0:txPr>
        <ns1:bodyPr/>
        <ns1:lstStyle/>
        <ns1:p>
          <ns1:pPr lvl="0">
            <ns1:defRPr b="1" i="0">
              <ns1:solidFill>
                <ns1:srgbClr val="A7B6C8"/>
              </ns1:solidFill>
              <ns1:latin typeface="Arial"/>
            </ns1:defRPr>
          </ns1:pPr>
          <ns1:endParaRPr lang="en-US"/>
        </ns1:p>
      </ns0:txPr>
    </ns0:legend>
    <ns0:plotVisOnly val="1"/>
    <ns0:dispBlanksAs val="gap"/>
    <ns0:showDLblsOverMax val="1"/>
  </ns0:chart>
  <ns0:spPr>
    <ns1:solidFill>
      <ns1:srgbClr val="16212C"/>
    </ns1:solidFill>
  </ns0:spPr>
  <ns0:printSettings>
    <ns0:headerFooter/>
    <ns0:pageMargins b="0.75" l="0.7" r="0.7" t="0.75" header="0.3" footer="0.3"/>
    <ns0:pageSetup/>
  </ns0:printSettings>
</ns0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B2:Q53"/>
  <sheetViews>
    <sheetView showGridLines="0" tabSelected="1" workbookViewId="0"/>
  </sheetViews>
  <sheetFormatPr baseColWidth="10" defaultColWidth="8.83203125" defaultRowHeight="14" ns3:dyDescent="0.15"/>
  <cols>
    <col min="1" max="1" width="3.33203125" style="27" customWidth="1"/>
    <col min="2" max="2" width="20" style="27" customWidth="1"/>
    <col min="3" max="5" width="11" style="27" customWidth="1"/>
    <col min="6" max="17" width="13" style="27" customWidth="1"/>
    <col min="18" max="16384" width="8.83203125" style="27"/>
  </cols>
  <sheetData>
    <row r="2" spans="2:17" ht="24" customHeight="1" ns3:dyDescent="0.15">
      <c r="B2" s="39" t="inlineStr">
        <is>
          <t>Phase-space Engineering Dashboard</t>
        </is>
      </c>
      <c r="C2" s="39"/>
      <c r="D2" s="39"/>
      <c r="E2" s="39"/>
      <c r="F2" s="39"/>
      <c r="G2" s="39"/>
      <c r="H2" s="39"/>
      <c r="I2" s="39"/>
      <c r="J2" s="40" t="inlineStr">
        <is>
          <t>SELECTED CASE</t>
        </is>
      </c>
      <c r="K2" s="41"/>
      <c r="L2" s="41"/>
      <c r="M2" s="42"/>
      <c r="N2" s="40" t="inlineStr">
        <is>
          <t>RECORDED RUNS</t>
        </is>
      </c>
      <c r="O2" s="41"/>
      <c r="P2" s="41"/>
      <c r="Q2" s="42"/>
    </row>
    <row r="3" spans="2:17" ht="24" customHeight="1" ns3:dyDescent="0.15">
      <c r="B3" s="38" t="inlineStr">
        <is>
          <t>Engineering measurements</t>
        </is>
      </c>
      <c r="C3" s="38"/>
      <c r="D3" s="38"/>
      <c r="E3" s="38"/>
      <c r="F3" s="38"/>
      <c r="G3" s="38"/>
      <c r="H3" s="38"/>
      <c r="I3" s="38"/>
      <c r="J3" s="97" t="str">
        <f>'Data &amp; Targets'!$C$9</f>
        <v>rhythmic-channels-trace</v>
      </c>
      <c r="K3" s="44"/>
      <c r="L3" s="44"/>
      <c r="M3" s="45"/>
      <c r="N3" s="99">
        <v>36</v>
      </c>
      <c r="O3" s="44"/>
      <c r="P3" s="44"/>
      <c r="Q3" s="45"/>
    </row>
    <row r="4" spans="2:17" ht="20" customHeight="1" ns3:dyDescent="0.15">
      <c r="B4" s="46" t="inlineStr">
        <is>
          <t>Build 3745369692fd; 36/36 runs. Tiles show the selected case; worst across all runs: frame p95 10.43 ms, age p95 40.97 ms. Dirty runs are non-quotable.</t>
        </is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2:17" ht="20" customHeight="1" ns3:dyDescent="0.15">
      <c r="B5" s="47" t="inlineStr">
        <is>
          <t>FRAME P95 · MS</t>
        </is>
      </c>
      <c r="C5" s="48"/>
      <c r="D5" s="48"/>
      <c r="E5" s="49"/>
      <c r="F5" s="47" t="inlineStr">
        <is>
          <t>AGE P95 · MS</t>
        </is>
      </c>
      <c r="G5" s="48"/>
      <c r="H5" s="48"/>
      <c r="I5" s="49"/>
      <c r="J5" s="47" t="inlineStr">
        <is>
          <t>LIVE DISPLAY</t>
        </is>
      </c>
      <c r="K5" s="48"/>
      <c r="L5" s="48"/>
      <c r="M5" s="49"/>
      <c r="N5" s="47" t="inlineStr">
        <is>
          <t>WITHIN 20 MS</t>
        </is>
      </c>
      <c r="O5" s="48"/>
      <c r="P5" s="48"/>
      <c r="Q5" s="49"/>
    </row>
    <row r="6" spans="2:17" ht="27" customHeight="1" ns3:dyDescent="0.15">
      <c r="B6" s="111">
        <f>IF('_Chart Helpers'!B2="","Not measured",'_Chart Helpers'!B2)</f>
        <v>10.091424999998821</v>
      </c>
      <c r="C6" s="51"/>
      <c r="D6" s="51"/>
      <c r="E6" s="52"/>
      <c r="F6" s="111">
        <f>IF('_Chart Helpers'!B3="","Not measured",'_Chart Helpers'!B3)</f>
        <v>40.70787000000564</v>
      </c>
      <c r="G6" s="51"/>
      <c r="H6" s="51"/>
      <c r="I6" s="52"/>
      <c r="J6" s="112">
        <f>IF('_Chart Helpers'!B4="","Not measured",'_Chart Helpers'!B4)</f>
        <v>1.0</v>
      </c>
      <c r="K6" s="54"/>
      <c r="L6" s="54"/>
      <c r="M6" s="55"/>
      <c r="N6" s="112">
        <f>IF('_Chart Helpers'!B5="","Not measured",'_Chart Helpers'!B5)</f>
        <v>0.9991630631887293</v>
      </c>
      <c r="O6" s="54"/>
      <c r="P6" s="54"/>
      <c r="Q6" s="55"/>
    </row>
    <row r="7" spans="2:17" ht="27" customHeight="1" ns3:dyDescent="0.15">
      <c r="B7" s="50"/>
      <c r="C7" s="51"/>
      <c r="D7" s="51"/>
      <c r="E7" s="52"/>
      <c r="F7" s="50"/>
      <c r="G7" s="51"/>
      <c r="H7" s="51"/>
      <c r="I7" s="52"/>
      <c r="J7" s="53"/>
      <c r="K7" s="54"/>
      <c r="L7" s="54"/>
      <c r="M7" s="55"/>
      <c r="N7" s="53"/>
      <c r="O7" s="54"/>
      <c r="P7" s="54"/>
      <c r="Q7" s="55"/>
    </row>
    <row r="8" spans="2:17" ht="20" customHeight="1" ns3:dyDescent="0.15">
      <c r="B8" s="13" t="inlineStr">
        <is>
          <t>3 repeats</t>
        </is>
      </c>
      <c r="C8" s="14"/>
      <c r="D8" s="124">
        <v>20</v>
      </c>
      <c r="E8" s="16" t="inlineStr">
        <is>
          <t>limit</t>
        </is>
      </c>
      <c r="F8" s="13" t="inlineStr">
        <is>
          <t>3 repeats</t>
        </is>
      </c>
      <c r="G8" s="14"/>
      <c r="H8" s="124">
        <v>100</v>
      </c>
      <c r="I8" s="16" t="inlineStr">
        <is>
          <t>limit</t>
        </is>
      </c>
      <c r="J8" s="13" t="inlineStr">
        <is>
          <t>3 repeats</t>
        </is>
      </c>
      <c r="K8" s="14"/>
      <c r="L8" s="125">
        <v>1</v>
      </c>
      <c r="M8" s="16" t="inlineStr">
        <is>
          <t>reference</t>
        </is>
      </c>
      <c r="N8" s="13" t="inlineStr">
        <is>
          <t>3 repeats</t>
        </is>
      </c>
      <c r="O8" s="14"/>
      <c r="P8" s="125">
        <v>0.95</v>
      </c>
      <c r="Q8" s="16" t="inlineStr">
        <is>
          <t>reference</t>
        </is>
      </c>
    </row>
    <row r="9" spans="2:17" ns3:dyDescent="0.1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2:17" ht="20" customHeight="1" ns3:dyDescent="0.15">
      <c r="B10" s="47" t="inlineStr">
        <is>
          <t>MEDIAN FPS</t>
        </is>
      </c>
      <c r="C10" s="48"/>
      <c r="D10" s="48"/>
      <c r="E10" s="49"/>
      <c r="F10" s="47" t="inlineStr">
        <is>
          <t>ACCEPTED SAMPLES</t>
        </is>
      </c>
      <c r="G10" s="48"/>
      <c r="H10" s="48"/>
      <c r="I10" s="49"/>
      <c r="J10" s="47" t="inlineStr">
        <is>
          <t>CLIPPED FRACTION</t>
        </is>
      </c>
      <c r="K10" s="48"/>
      <c r="L10" s="48"/>
      <c r="M10" s="49"/>
      <c r="N10" s="47" t="inlineStr">
        <is>
          <t>SKIPPED NOTIFICATIONS</t>
        </is>
      </c>
      <c r="O10" s="48"/>
      <c r="P10" s="48"/>
      <c r="Q10" s="49"/>
    </row>
    <row r="11" spans="2:17" ht="27" customHeight="1" ns3:dyDescent="0.15">
      <c r="B11" s="113">
        <f>IF('_Chart Helpers'!B6="","Not measured",'_Chart Helpers'!B6)</f>
        <v>119.6085475936106</v>
      </c>
      <c r="C11" s="79"/>
      <c r="D11" s="79"/>
      <c r="E11" s="80"/>
      <c r="F11" s="114">
        <f>IF('_Chart Helpers'!B7="","Not measured",'_Chart Helpers'!B7)</f>
        <v>46056</v>
      </c>
      <c r="G11" s="82"/>
      <c r="H11" s="82"/>
      <c r="I11" s="83"/>
      <c r="J11" s="112">
        <f>IF('_Chart Helpers'!B8="","Not measured",'_Chart Helpers'!B8)</f>
        <v>0.0</v>
      </c>
      <c r="K11" s="54"/>
      <c r="L11" s="54"/>
      <c r="M11" s="55"/>
      <c r="N11" s="115">
        <f>IF('_Chart Helpers'!B9="","Not measured",'_Chart Helpers'!B9)</f>
        <v>0</v>
      </c>
      <c r="O11" s="76"/>
      <c r="P11" s="76"/>
      <c r="Q11" s="77"/>
    </row>
    <row r="12" spans="2:17" ht="27" customHeight="1" ns3:dyDescent="0.15">
      <c r="B12" s="78"/>
      <c r="C12" s="79"/>
      <c r="D12" s="79"/>
      <c r="E12" s="80"/>
      <c r="F12" s="81"/>
      <c r="G12" s="82"/>
      <c r="H12" s="82"/>
      <c r="I12" s="83"/>
      <c r="J12" s="53"/>
      <c r="K12" s="54"/>
      <c r="L12" s="54"/>
      <c r="M12" s="55"/>
      <c r="N12" s="75"/>
      <c r="O12" s="76"/>
      <c r="P12" s="76"/>
      <c r="Q12" s="77"/>
    </row>
    <row r="13" spans="2:17" ht="20" customHeight="1" ns3:dyDescent="0.15">
      <c r="B13" s="13" t="inlineStr">
        <is>
          <t>3 repeats</t>
        </is>
      </c>
      <c r="C13" s="14"/>
      <c r="D13" s="124">
        <v>60</v>
      </c>
      <c r="E13" s="16" t="inlineStr">
        <is>
          <t>reference</t>
        </is>
      </c>
      <c r="F13" s="13" t="inlineStr">
        <is>
          <t>3 repeats</t>
        </is>
      </c>
      <c r="G13" s="14"/>
      <c r="H13" s="15"/>
      <c r="I13" s="16"/>
      <c r="J13" s="13" t="inlineStr">
        <is>
          <t>3 repeats</t>
        </is>
      </c>
      <c r="K13" s="14"/>
      <c r="L13" s="15"/>
      <c r="M13" s="16"/>
      <c r="N13" s="13" t="inlineStr">
        <is>
          <t>3 repeats</t>
        </is>
      </c>
      <c r="O13" s="14"/>
      <c r="P13" s="15"/>
      <c r="Q13" s="16"/>
    </row>
    <row r="14" spans="2:17" ns3:dyDescent="0.1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2:17" ht="22" customHeight="1" ns3:dyDescent="0.15">
      <c r="B15" s="56" t="inlineStr">
        <is>
          <t>FRAME P95 — WORST RUN VS TARGET</t>
        </is>
      </c>
      <c r="C15" s="56"/>
      <c r="D15" s="56"/>
      <c r="E15" s="56"/>
      <c r="F15" s="56"/>
      <c r="G15" s="56"/>
      <c r="H15" s="56"/>
      <c r="I15" s="56"/>
      <c r="J15" s="56" t="inlineStr">
        <is>
          <t>AGE P95 — WORST RUN VS TARGET</t>
        </is>
      </c>
      <c r="K15" s="56"/>
      <c r="L15" s="56"/>
      <c r="M15" s="56"/>
      <c r="N15" s="56"/>
      <c r="O15" s="56"/>
      <c r="P15" s="56"/>
      <c r="Q15" s="56"/>
    </row>
    <row r="16" spans="2:17" ns3:dyDescent="0.1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2:17" ns3:dyDescent="0.1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2:17" ns3:dyDescent="0.1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2:17" ns3:dyDescent="0.1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2:17" ns3:dyDescent="0.1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2:17" ns3:dyDescent="0.1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ns3:dyDescent="0.1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2:17" ns3:dyDescent="0.1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2:17" ns3:dyDescent="0.1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2:17" ns3:dyDescent="0.1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2:17" ns3:dyDescent="0.1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ns3:dyDescent="0.1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2:17" ns3:dyDescent="0.1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2:17" ht="22" customHeight="1" ns3:dyDescent="0.15">
      <c r="B29" s="56" t="inlineStr">
        <is>
          <t>FRAME INTERVAL DISTRIBUTION — ALL RECORDED FRAMES</t>
        </is>
      </c>
      <c r="C29" s="56"/>
      <c r="D29" s="56"/>
      <c r="E29" s="56"/>
      <c r="F29" s="56"/>
      <c r="G29" s="56"/>
      <c r="H29" s="56"/>
      <c r="I29" s="56"/>
      <c r="J29" s="56" t="inlineStr">
        <is>
          <t>CASE VERDICTS — FIXED THREE-RUN RULE</t>
        </is>
      </c>
      <c r="K29" s="56"/>
      <c r="L29" s="56"/>
      <c r="M29" s="56"/>
      <c r="N29" s="56"/>
      <c r="O29" s="56"/>
      <c r="P29" s="56"/>
      <c r="Q29" s="56"/>
    </row>
    <row r="30" spans="2:17" ns3:dyDescent="0.1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2:17" ns3:dyDescent="0.1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2:17" ns3:dyDescent="0.1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2:17" ns3:dyDescent="0.1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2:17" ns3:dyDescent="0.1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2:17" ns3:dyDescent="0.1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2:17" ns3:dyDescent="0.1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2:17" ns3:dyDescent="0.1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 ns3:dyDescent="0.1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2:17" ns3:dyDescent="0.1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2:17" ns3:dyDescent="0.1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2:17" ns3:dyDescent="0.1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2:17" ns3:dyDescent="0.1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 ht="22" customHeight="1" ns3:dyDescent="0.15">
      <c r="B43" s="56" t="inlineStr">
        <is>
          <t>MEASURED ENGINEERING RESULTS — NO COGNITIVE INFERENCE</t>
        </is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2:17" ht="26" customHeight="1" ns3:dyDescent="0.15">
      <c r="B44" s="17" t="inlineStr">
        <is>
          <t>Metric</t>
        </is>
      </c>
      <c r="C44" s="17" t="inlineStr">
        <is>
          <t>Direction</t>
        </is>
      </c>
      <c r="D44" s="17" t="inlineStr">
        <is>
          <t>Observed</t>
        </is>
      </c>
      <c r="E44" s="17" t="inlineStr">
        <is>
          <t>Reference</t>
        </is>
      </c>
      <c r="F44" s="17" t="inlineStr">
        <is>
          <t>Difference</t>
        </is>
      </c>
      <c r="G44" s="17" t="inlineStr">
        <is>
          <t>Difference %</t>
        </is>
      </c>
      <c r="H44" s="17" t="inlineStr">
        <is>
          <t>Reference status</t>
        </is>
      </c>
      <c r="I44" s="12"/>
      <c r="J44" s="12"/>
      <c r="K44" s="12"/>
      <c r="L44" s="12"/>
      <c r="M44" s="12"/>
      <c r="N44" s="12"/>
      <c r="O44" s="12"/>
      <c r="P44" s="12"/>
      <c r="Q44" s="12"/>
    </row>
    <row r="45" spans="2:17" ns3:dyDescent="0.15">
      <c r="B45" s="116">
        <f>IF('_Chart Helpers'!A2="","",'_Chart Helpers'!A2)</f>
      </c>
      <c r="C45" s="117">
        <f>IF('_Chart Helpers'!E2="","",'_Chart Helpers'!E2)</f>
      </c>
      <c r="D45" s="118">
        <f>IF('_Chart Helpers'!B2="","",'_Chart Helpers'!B2)</f>
      </c>
      <c r="E45" s="118">
        <f>IF('_Chart Helpers'!C2="","",'_Chart Helpers'!C2)</f>
      </c>
      <c r="F45" s="118">
        <f>IF(OR(D45="",E45=""),"",D45-E45)</f>
      </c>
      <c r="G45" s="119">
        <f>IF(OR(D45="",E45=""),"",IFERROR(D45/E45-1,""))</f>
      </c>
      <c r="H45" s="117">
        <f>IF('_Chart Helpers'!F2="","",'_Chart Helpers'!F2)</f>
      </c>
      <c r="I45" s="12"/>
      <c r="J45" s="57" t="inlineStr">
        <is>
          <t>Three p95 values per case; min/median/max are in the report. No pooled percentile. Historical logs supply text and scores only.</t>
        </is>
      </c>
      <c r="K45" s="58"/>
      <c r="L45" s="58"/>
      <c r="M45" s="58"/>
      <c r="N45" s="58"/>
      <c r="O45" s="58"/>
      <c r="P45" s="58"/>
      <c r="Q45" s="59"/>
    </row>
    <row r="46" spans="2:17" ns3:dyDescent="0.15">
      <c r="B46" s="116">
        <f>IF('_Chart Helpers'!A3="","",'_Chart Helpers'!A3)</f>
      </c>
      <c r="C46" s="117">
        <f>IF('_Chart Helpers'!E3="","",'_Chart Helpers'!E3)</f>
      </c>
      <c r="D46" s="118">
        <f>IF('_Chart Helpers'!B3="","",'_Chart Helpers'!B3)</f>
      </c>
      <c r="E46" s="118">
        <f>IF('_Chart Helpers'!C3="","",'_Chart Helpers'!C3)</f>
      </c>
      <c r="F46" s="118">
        <f>IF(OR(D46="",E46=""),"",D46-E46)</f>
      </c>
      <c r="G46" s="119">
        <f>IF(OR(D46="",E46=""),"",IFERROR(D46/E46-1,""))</f>
      </c>
      <c r="H46" s="117">
        <f>IF('_Chart Helpers'!F3="","",'_Chart Helpers'!F3)</f>
      </c>
      <c r="I46" s="12"/>
      <c r="J46" s="60"/>
      <c r="K46" s="61"/>
      <c r="L46" s="61"/>
      <c r="M46" s="61"/>
      <c r="N46" s="61"/>
      <c r="O46" s="61"/>
      <c r="P46" s="61"/>
      <c r="Q46" s="62"/>
    </row>
    <row r="47" spans="2:17" ns3:dyDescent="0.15">
      <c r="B47" s="116">
        <f>IF('_Chart Helpers'!A4="","",'_Chart Helpers'!A4)</f>
      </c>
      <c r="C47" s="117">
        <f>IF('_Chart Helpers'!E4="","",'_Chart Helpers'!E4)</f>
      </c>
      <c r="D47" s="119">
        <f>IF('_Chart Helpers'!B4="","",'_Chart Helpers'!B4)</f>
      </c>
      <c r="E47" s="119">
        <f>IF('_Chart Helpers'!C4="","",'_Chart Helpers'!C4)</f>
      </c>
      <c r="F47" s="120">
        <f>IF(OR(D47="",E47=""),"",D47-E47)</f>
      </c>
      <c r="G47" s="119">
        <f>IF(OR(D47="",E47=""),"",IFERROR(D47/E47-1,""))</f>
      </c>
      <c r="H47" s="117">
        <f>IF('_Chart Helpers'!F4="","",'_Chart Helpers'!F4)</f>
      </c>
      <c r="I47" s="12"/>
      <c r="J47" s="60"/>
      <c r="K47" s="61"/>
      <c r="L47" s="61"/>
      <c r="M47" s="61"/>
      <c r="N47" s="61"/>
      <c r="O47" s="61"/>
      <c r="P47" s="61"/>
      <c r="Q47" s="62"/>
    </row>
    <row r="48" spans="2:17" ns3:dyDescent="0.15">
      <c r="B48" s="116">
        <f>IF('_Chart Helpers'!A5="","",'_Chart Helpers'!A5)</f>
      </c>
      <c r="C48" s="117">
        <f>IF('_Chart Helpers'!E5="","",'_Chart Helpers'!E5)</f>
      </c>
      <c r="D48" s="119">
        <f>IF('_Chart Helpers'!B5="","",'_Chart Helpers'!B5)</f>
      </c>
      <c r="E48" s="119">
        <f>IF('_Chart Helpers'!C5="","",'_Chart Helpers'!C5)</f>
      </c>
      <c r="F48" s="120">
        <f>IF(OR(D48="",E48=""),"",D48-E48)</f>
      </c>
      <c r="G48" s="119">
        <f>IF(OR(D48="",E48=""),"",IFERROR(D48/E48-1,""))</f>
      </c>
      <c r="H48" s="117">
        <f>IF('_Chart Helpers'!F5="","",'_Chart Helpers'!F5)</f>
      </c>
      <c r="I48" s="12"/>
      <c r="J48" s="63"/>
      <c r="K48" s="64"/>
      <c r="L48" s="64"/>
      <c r="M48" s="64"/>
      <c r="N48" s="64"/>
      <c r="O48" s="64"/>
      <c r="P48" s="64"/>
      <c r="Q48" s="65"/>
    </row>
    <row r="49" spans="2:17" ns3:dyDescent="0.15">
      <c r="B49" s="116">
        <f>IF('_Chart Helpers'!A6="","",'_Chart Helpers'!A6)</f>
      </c>
      <c r="C49" s="117">
        <f>IF('_Chart Helpers'!E6="","",'_Chart Helpers'!E6)</f>
      </c>
      <c r="D49" s="121">
        <f>IF('_Chart Helpers'!B6="","",'_Chart Helpers'!B6)</f>
      </c>
      <c r="E49" s="121">
        <f>IF('_Chart Helpers'!C6="","",'_Chart Helpers'!C6)</f>
      </c>
      <c r="F49" s="121">
        <f>IF(OR(D49="",E49=""),"",D49-E49)</f>
      </c>
      <c r="G49" s="119">
        <f>IF(OR(D49="",E49=""),"",IFERROR(D49/E49-1,""))</f>
      </c>
      <c r="H49" s="117">
        <f>IF('_Chart Helpers'!F6="","",'_Chart Helpers'!F6)</f>
      </c>
      <c r="I49" s="12"/>
      <c r="J49" s="12"/>
      <c r="K49" s="12"/>
      <c r="L49" s="12"/>
      <c r="M49" s="12"/>
      <c r="N49" s="12"/>
      <c r="O49" s="12"/>
      <c r="P49" s="12"/>
      <c r="Q49" s="12"/>
    </row>
    <row r="50" spans="2:17" ns3:dyDescent="0.15">
      <c r="B50" s="116">
        <f>IF('_Chart Helpers'!A7="","",'_Chart Helpers'!A7)</f>
      </c>
      <c r="C50" s="117">
        <f>IF('_Chart Helpers'!E7="","",'_Chart Helpers'!E7)</f>
      </c>
      <c r="D50" s="122">
        <f>IF('_Chart Helpers'!B7="","",'_Chart Helpers'!B7)</f>
      </c>
      <c r="E50" s="122">
        <f>IF('_Chart Helpers'!C7="","",'_Chart Helpers'!C7)</f>
      </c>
      <c r="F50" s="122">
        <f>IF(OR(D50="",E50=""),"",D50-E50)</f>
      </c>
      <c r="G50" s="119">
        <f>IF(OR(D50="",E50=""),"",IFERROR(D50/E50-1,""))</f>
      </c>
      <c r="H50" s="117">
        <f>IF('_Chart Helpers'!F7="","",'_Chart Helpers'!F7)</f>
      </c>
      <c r="I50" s="12"/>
      <c r="J50" s="66" t="inlineStr">
        <is>
          <t>Targets apply only to this recorded hardware and build. Unresolved cases remain unresolved; follow-up requires a new protocol.</t>
        </is>
      </c>
      <c r="K50" s="67"/>
      <c r="L50" s="67"/>
      <c r="M50" s="67"/>
      <c r="N50" s="67"/>
      <c r="O50" s="67"/>
      <c r="P50" s="67"/>
      <c r="Q50" s="68"/>
    </row>
    <row r="51" spans="2:17" ns3:dyDescent="0.15">
      <c r="B51" s="116">
        <f>IF('_Chart Helpers'!A8="","",'_Chart Helpers'!A8)</f>
      </c>
      <c r="C51" s="117">
        <f>IF('_Chart Helpers'!E8="","",'_Chart Helpers'!E8)</f>
      </c>
      <c r="D51" s="119">
        <f>IF('_Chart Helpers'!B8="","",'_Chart Helpers'!B8)</f>
      </c>
      <c r="E51" s="119">
        <f>IF('_Chart Helpers'!C8="","",'_Chart Helpers'!C8)</f>
      </c>
      <c r="F51" s="120">
        <f>IF(OR(D51="",E51=""),"",D51-E51)</f>
      </c>
      <c r="G51" s="119">
        <f>IF(OR(D51="",E51=""),"",IFERROR(D51/E51-1,""))</f>
      </c>
      <c r="H51" s="117">
        <f>IF('_Chart Helpers'!F8="","",'_Chart Helpers'!F8)</f>
      </c>
      <c r="I51" s="12"/>
      <c r="J51" s="69"/>
      <c r="K51" s="70"/>
      <c r="L51" s="70"/>
      <c r="M51" s="70"/>
      <c r="N51" s="70"/>
      <c r="O51" s="70"/>
      <c r="P51" s="70"/>
      <c r="Q51" s="71"/>
    </row>
    <row r="52" spans="2:17" ns3:dyDescent="0.15">
      <c r="B52" s="116">
        <f>IF('_Chart Helpers'!A9="","",'_Chart Helpers'!A9)</f>
      </c>
      <c r="C52" s="117">
        <f>IF('_Chart Helpers'!E9="","",'_Chart Helpers'!E9)</f>
      </c>
      <c r="D52" s="123">
        <f>IF('_Chart Helpers'!B9="","",'_Chart Helpers'!B9)</f>
      </c>
      <c r="E52" s="123">
        <f>IF('_Chart Helpers'!C9="","",'_Chart Helpers'!C9)</f>
      </c>
      <c r="F52" s="123">
        <f>IF(OR(D52="",E52=""),"",D52-E52)</f>
      </c>
      <c r="G52" s="119">
        <f>IF(OR(D52="",E52=""),"",IFERROR(D52/E52-1,""))</f>
      </c>
      <c r="H52" s="117">
        <f>IF('_Chart Helpers'!F9="","",'_Chart Helpers'!F9)</f>
      </c>
      <c r="I52" s="12"/>
      <c r="J52" s="72"/>
      <c r="K52" s="73"/>
      <c r="L52" s="73"/>
      <c r="M52" s="73"/>
      <c r="N52" s="73"/>
      <c r="O52" s="73"/>
      <c r="P52" s="73"/>
      <c r="Q52" s="74"/>
    </row>
    <row r="53" spans="2:17" ns3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</sheetData>
  <mergeCells count="28">
    <mergeCell ref="J11:M12"/>
    <mergeCell ref="N5:Q5"/>
    <mergeCell ref="N6:Q7"/>
    <mergeCell ref="B43:Q43"/>
    <mergeCell ref="J45:Q48"/>
    <mergeCell ref="J50:Q52"/>
    <mergeCell ref="N10:Q10"/>
    <mergeCell ref="N11:Q12"/>
    <mergeCell ref="B15:I15"/>
    <mergeCell ref="J15:Q15"/>
    <mergeCell ref="B29:I29"/>
    <mergeCell ref="J29:Q29"/>
    <mergeCell ref="B10:E10"/>
    <mergeCell ref="B11:E12"/>
    <mergeCell ref="F10:I10"/>
    <mergeCell ref="F11:I12"/>
    <mergeCell ref="J10:M10"/>
    <mergeCell ref="B5:E5"/>
    <mergeCell ref="B6:E7"/>
    <mergeCell ref="F5:I5"/>
    <mergeCell ref="F6:I7"/>
    <mergeCell ref="J5:M5"/>
    <mergeCell ref="J6:M7"/>
    <mergeCell ref="J2:M2"/>
    <mergeCell ref="J3:M3"/>
    <mergeCell ref="N2:Q2"/>
    <mergeCell ref="N3:Q3"/>
    <mergeCell ref="B4:Q4"/>
  </mergeCells>
  <conditionalFormatting sqref="H45:H52">
    <cfRule type="containsText" dxfId="2" priority="1" operator="containsText" text="Favorable"/>
    <cfRule type="containsText" dxfId="1" priority="2" operator="containsText" text="Watch"/>
    <cfRule type="containsText" dxfId="0" priority="3" operator="containsText" text="Unfavorable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B2:P35"/>
  <sheetViews>
    <sheetView showGridLines="0" workbookViewId="0">
      <selection activeCell="B3" sqref="B3"/>
    </sheetView>
  </sheetViews>
  <sheetFormatPr baseColWidth="10" defaultColWidth="8.83203125" defaultRowHeight="14" ns3:dyDescent="0.15"/>
  <cols>
    <col min="1" max="1" width="3.33203125" style="27" customWidth="1"/>
    <col min="2" max="2" width="32" style="27" customWidth="1"/>
    <col min="3" max="4" width="15" style="27" customWidth="1"/>
    <col min="5" max="5" width="17" style="27" customWidth="1"/>
    <col min="6" max="6" width="18" style="27" customWidth="1"/>
    <col min="7" max="8" width="15" style="27" customWidth="1"/>
    <col min="9" max="9" width="14" style="27" customWidth="1"/>
    <col min="10" max="10" width="16" style="27" customWidth="1"/>
    <col min="11" max="11" width="15" style="27" customWidth="1"/>
    <col min="12" max="15" width="16" style="27" customWidth="1"/>
    <col min="16" max="16" width="15" style="27" customWidth="1"/>
    <col min="17" max="16384" width="8.83203125" style="27"/>
  </cols>
  <sheetData>
    <row r="2" spans="2:16" ht="26" customHeight="1" ns3:dyDescent="0.15">
      <c r="B2" s="36" t="inlineStr">
        <is>
          <t>Phase-space Engineering Dashboard</t>
        </is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2:16" ht="26" customHeight="1" ns3:dyDescent="0.15">
      <c r="B3" s="38" t="inlineStr">
        <is>
          <t>Fixed engineering comparison</t>
        </is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2:16" ns3:dyDescent="0.1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2:16" ht="22" customHeight="1" ns3:dyDescent="0.15">
      <c r="B5" s="87" t="inlineStr">
        <is>
          <t>METHOD AND PROVENANCE</t>
        </is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</row>
    <row r="6" spans="2:16" ht="22" customHeight="1" ns3:dyDescent="0.15">
      <c r="B6" s="88" t="inlineStr">
        <is>
          <t>Dashboard p95 values are the worst of three run-level p95s. Runs holds every measured repetition. No extra or replacement runs.</t>
        </is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</row>
    <row r="7" spans="2:16" ht="22" customHeight="1" ns3:dyDescent="0.15">
      <c r="B7" s="88" t="inlineStr">
        <is>
          <t>Select a case in C9. A case needs three quotable runs: 3/3 accepted; 0/3 targets not met; mixed or incomplete unresolved.</t>
        </is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2:16" ns3:dyDescent="0.1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ns3:dyDescent="0.15">
      <c r="B9" s="1" t="inlineStr">
        <is>
          <t>Selected Case</t>
        </is>
      </c>
      <c r="C9" s="29" t="inlineStr">
        <is>
          <t>rhythmic-channels-trace</t>
        </is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2:16" ht="26" ns3:dyDescent="0.15">
      <c r="B10" s="1" t="inlineStr">
        <is>
          <t>Recorded Runs</t>
        </is>
      </c>
      <c r="C10" s="98">
        <v>36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2:16" ns3:dyDescent="0.15">
      <c r="B11" s="1" t="inlineStr">
        <is>
          <t>Source</t>
        </is>
      </c>
      <c r="C11" s="84" t="inlineStr">
        <is>
          <t>Build 3745369692fd; 36/36 runs. Tiles show the selected case; worst across all runs: frame p95 10.43 ms, age p95 40.97 ms. Dirty runs are non-quotable.</t>
        </is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2:16" ns3:dyDescent="0.15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2:16" ht="22" customHeight="1" ns3:dyDescent="0.15">
      <c r="B13" s="85" t="inlineStr">
        <is>
          <t>CASE SUMMARY — THREE FIXED REPEATS; NO POOLED P95</t>
        </is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2:16" ns3:dyDescent="0.1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2:16" ht="34" customHeight="1" ns3:dyDescent="0.15">
      <c r="B15" s="2" t="inlineStr">
        <is>
          <t>Case</t>
        </is>
      </c>
      <c r="C15" s="2" t="inlineStr">
        <is>
          <t>Frame p95 ms</t>
        </is>
      </c>
      <c r="D15" s="2" t="inlineStr">
        <is>
          <t>Age p95 ms</t>
        </is>
      </c>
      <c r="E15" s="2" t="inlineStr">
        <is>
          <t>Live fraction</t>
        </is>
      </c>
      <c r="F15" s="2" t="inlineStr">
        <is>
          <t>Within 20ms</t>
        </is>
      </c>
      <c r="G15" s="2" t="inlineStr">
        <is>
          <t>Median FPS</t>
        </is>
      </c>
      <c r="H15" s="2" t="inlineStr">
        <is>
          <t>Accepted samples</t>
        </is>
      </c>
      <c r="I15" s="2" t="inlineStr">
        <is>
          <t>Clipped fraction</t>
        </is>
      </c>
      <c r="J15" s="2" t="inlineStr">
        <is>
          <t>Frame target</t>
        </is>
      </c>
      <c r="K15" s="2" t="inlineStr">
        <is>
          <t>Age target</t>
        </is>
      </c>
      <c r="L15" s="2" t="inlineStr">
        <is>
          <t>Live reference</t>
        </is>
      </c>
      <c r="M15" s="2" t="inlineStr">
        <is>
          <t>Budget reference</t>
        </is>
      </c>
      <c r="N15" s="2" t="inlineStr">
        <is>
          <t>FPS reference</t>
        </is>
      </c>
      <c r="O15" s="2" t="inlineStr">
        <is>
          <t>Samples reference</t>
        </is>
      </c>
      <c r="P15" s="2" t="inlineStr">
        <is>
          <t>Clip reference</t>
        </is>
      </c>
    </row>
    <row r="16" spans="2:16" ns3:dyDescent="0.15">
      <c r="B16" s="100" t="inlineStr">
        <is>
          <t>rhythmic-channels-trace</t>
        </is>
      </c>
      <c r="C16" s="101">
        <v>10.091424999998821</v>
      </c>
      <c r="D16" s="101">
        <v>40.70787000000564</v>
      </c>
      <c r="E16" s="102">
        <v>1.0</v>
      </c>
      <c r="F16" s="102">
        <v>0.9991630631887293</v>
      </c>
      <c r="G16" s="103">
        <v>119.6085475936106</v>
      </c>
      <c r="H16" s="104">
        <v>46056</v>
      </c>
      <c r="I16" s="102">
        <v>0.0</v>
      </c>
      <c r="J16" s="101">
        <v>20</v>
      </c>
      <c r="K16" s="101">
        <v>100</v>
      </c>
      <c r="L16" s="102">
        <v>1</v>
      </c>
      <c r="M16" s="102">
        <v>0.95</v>
      </c>
      <c r="N16" s="103">
        <v>60</v>
      </c>
      <c r="O16" s="104"/>
      <c r="P16" s="102"/>
    </row>
    <row r="17" spans="2:16" ns3:dyDescent="0.15">
      <c r="B17" s="100" t="inlineStr">
        <is>
          <t>rhythmic-channels-full</t>
        </is>
      </c>
      <c r="C17" s="101">
        <v>10.030900000000287</v>
      </c>
      <c r="D17" s="101">
        <v>40.64384099999734</v>
      </c>
      <c r="E17" s="102">
        <v>1.0</v>
      </c>
      <c r="F17" s="102">
        <v>0.9990231649455763</v>
      </c>
      <c r="G17" s="103">
        <v>119.50044142282893</v>
      </c>
      <c r="H17" s="104">
        <v>46080</v>
      </c>
      <c r="I17" s="102">
        <v>0.0</v>
      </c>
      <c r="J17" s="101">
        <v>20</v>
      </c>
      <c r="K17" s="101">
        <v>100</v>
      </c>
      <c r="L17" s="102">
        <v>1</v>
      </c>
      <c r="M17" s="102">
        <v>0.95</v>
      </c>
      <c r="N17" s="103">
        <v>60</v>
      </c>
      <c r="O17" s="104"/>
      <c r="P17" s="102"/>
    </row>
    <row r="18" spans="2:16" ns3:dyDescent="0.15">
      <c r="B18" s="100" t="inlineStr">
        <is>
          <t>rhythmic-delay-trace</t>
        </is>
      </c>
      <c r="C18" s="101">
        <v>9.326940999997646</v>
      </c>
      <c r="D18" s="101">
        <v>40.464389000000665</v>
      </c>
      <c r="E18" s="102">
        <v>1.0</v>
      </c>
      <c r="F18" s="102">
        <v>0.9991637630662021</v>
      </c>
      <c r="G18" s="103">
        <v>119.62890612335944</v>
      </c>
      <c r="H18" s="104">
        <v>46072</v>
      </c>
      <c r="I18" s="102">
        <v>0.0</v>
      </c>
      <c r="J18" s="101">
        <v>20</v>
      </c>
      <c r="K18" s="101">
        <v>100</v>
      </c>
      <c r="L18" s="102">
        <v>1</v>
      </c>
      <c r="M18" s="102">
        <v>0.95</v>
      </c>
      <c r="N18" s="103">
        <v>60</v>
      </c>
      <c r="O18" s="104"/>
      <c r="P18" s="102"/>
    </row>
    <row r="19" spans="2:16" ns3:dyDescent="0.15">
      <c r="B19" s="100" t="inlineStr">
        <is>
          <t>rhythmic-delay-full</t>
        </is>
      </c>
      <c r="C19" s="101">
        <v>9.632240000001957</v>
      </c>
      <c r="D19" s="101">
        <v>40.66582400000152</v>
      </c>
      <c r="E19" s="102">
        <v>1.0</v>
      </c>
      <c r="F19" s="102">
        <v>0.9988839285714286</v>
      </c>
      <c r="G19" s="103">
        <v>119.47703518048093</v>
      </c>
      <c r="H19" s="104">
        <v>46072</v>
      </c>
      <c r="I19" s="102">
        <v>0.0</v>
      </c>
      <c r="J19" s="101">
        <v>20</v>
      </c>
      <c r="K19" s="101">
        <v>100</v>
      </c>
      <c r="L19" s="102">
        <v>1</v>
      </c>
      <c r="M19" s="102">
        <v>0.95</v>
      </c>
      <c r="N19" s="103">
        <v>60</v>
      </c>
      <c r="O19" s="104"/>
      <c r="P19" s="102"/>
    </row>
    <row r="20" spans="2:16" ns3:dyDescent="0.15">
      <c r="B20" s="100" t="inlineStr">
        <is>
          <t>noise-channels-trace</t>
        </is>
      </c>
      <c r="C20" s="101">
        <v>9.858533999999253</v>
      </c>
      <c r="D20" s="101">
        <v>40.61235000000306</v>
      </c>
      <c r="E20" s="102">
        <v>1.0</v>
      </c>
      <c r="F20" s="102">
        <v>0.9990239821528165</v>
      </c>
      <c r="G20" s="103">
        <v>119.60256162387437</v>
      </c>
      <c r="H20" s="104">
        <v>46080</v>
      </c>
      <c r="I20" s="102">
        <v>0.0</v>
      </c>
      <c r="J20" s="101">
        <v>20</v>
      </c>
      <c r="K20" s="101">
        <v>100</v>
      </c>
      <c r="L20" s="102">
        <v>1</v>
      </c>
      <c r="M20" s="102">
        <v>0.95</v>
      </c>
      <c r="N20" s="103">
        <v>60</v>
      </c>
      <c r="O20" s="104"/>
      <c r="P20" s="102"/>
    </row>
    <row r="21" spans="2:16" ns3:dyDescent="0.15">
      <c r="B21" s="100" t="inlineStr">
        <is>
          <t>noise-channels-full</t>
        </is>
      </c>
      <c r="C21" s="101">
        <v>9.8979589999999</v>
      </c>
      <c r="D21" s="101">
        <v>40.81647299999895</v>
      </c>
      <c r="E21" s="102">
        <v>1.0</v>
      </c>
      <c r="F21" s="102">
        <v>0.998463687150838</v>
      </c>
      <c r="G21" s="103">
        <v>119.3574574687573</v>
      </c>
      <c r="H21" s="104">
        <v>46064</v>
      </c>
      <c r="I21" s="102">
        <v>0.0</v>
      </c>
      <c r="J21" s="101">
        <v>20</v>
      </c>
      <c r="K21" s="101">
        <v>100</v>
      </c>
      <c r="L21" s="102">
        <v>1</v>
      </c>
      <c r="M21" s="102">
        <v>0.95</v>
      </c>
      <c r="N21" s="103">
        <v>60</v>
      </c>
      <c r="O21" s="104"/>
      <c r="P21" s="102"/>
    </row>
    <row r="22" spans="2:16" ns3:dyDescent="0.15">
      <c r="B22" s="100" t="inlineStr">
        <is>
          <t>noise-delay-trace</t>
        </is>
      </c>
      <c r="C22" s="101">
        <v>10.434391000000431</v>
      </c>
      <c r="D22" s="101">
        <v>40.973307000000204</v>
      </c>
      <c r="E22" s="102">
        <v>1.0</v>
      </c>
      <c r="F22" s="102">
        <v>0.9980435997764114</v>
      </c>
      <c r="G22" s="103">
        <v>119.48408174639458</v>
      </c>
      <c r="H22" s="104">
        <v>46080</v>
      </c>
      <c r="I22" s="102">
        <v>0.0</v>
      </c>
      <c r="J22" s="101">
        <v>20</v>
      </c>
      <c r="K22" s="101">
        <v>100</v>
      </c>
      <c r="L22" s="102">
        <v>1</v>
      </c>
      <c r="M22" s="102">
        <v>0.95</v>
      </c>
      <c r="N22" s="103">
        <v>60</v>
      </c>
      <c r="O22" s="104"/>
      <c r="P22" s="102"/>
    </row>
    <row r="23" spans="2:16" ns3:dyDescent="0.15">
      <c r="B23" s="100" t="inlineStr">
        <is>
          <t>noise-delay-full</t>
        </is>
      </c>
      <c r="C23" s="101">
        <v>9.37986799999635</v>
      </c>
      <c r="D23" s="101">
        <v>40.66573300000164</v>
      </c>
      <c r="E23" s="102">
        <v>1.0</v>
      </c>
      <c r="F23" s="102">
        <v>0.999162712810494</v>
      </c>
      <c r="G23" s="103">
        <v>119.66641481164714</v>
      </c>
      <c r="H23" s="104">
        <v>46080</v>
      </c>
      <c r="I23" s="102">
        <v>0.0</v>
      </c>
      <c r="J23" s="101">
        <v>20</v>
      </c>
      <c r="K23" s="101">
        <v>100</v>
      </c>
      <c r="L23" s="102">
        <v>1</v>
      </c>
      <c r="M23" s="102">
        <v>0.95</v>
      </c>
      <c r="N23" s="103">
        <v>60</v>
      </c>
      <c r="O23" s="104"/>
      <c r="P23" s="102"/>
    </row>
    <row r="24" spans="2:16" ns3:dyDescent="0.15">
      <c r="B24" s="100" t="inlineStr">
        <is>
          <t>impulse-channels-trace</t>
        </is>
      </c>
      <c r="C24" s="101">
        <v>9.511491999999677</v>
      </c>
      <c r="D24" s="101">
        <v>40.55729199999769</v>
      </c>
      <c r="E24" s="102">
        <v>1.0</v>
      </c>
      <c r="F24" s="102">
        <v>0.9984632578932663</v>
      </c>
      <c r="G24" s="103">
        <v>119.58506481493684</v>
      </c>
      <c r="H24" s="104">
        <v>46072</v>
      </c>
      <c r="I24" s="102">
        <v>0.046875</v>
      </c>
      <c r="J24" s="101">
        <v>20</v>
      </c>
      <c r="K24" s="101">
        <v>100</v>
      </c>
      <c r="L24" s="102">
        <v>1</v>
      </c>
      <c r="M24" s="102">
        <v>0.95</v>
      </c>
      <c r="N24" s="103">
        <v>60</v>
      </c>
      <c r="O24" s="104"/>
      <c r="P24" s="102"/>
    </row>
    <row r="25" spans="2:16" ns3:dyDescent="0.15">
      <c r="B25" s="100" t="inlineStr">
        <is>
          <t>impulse-channels-full</t>
        </is>
      </c>
      <c r="C25" s="101">
        <v>9.613575000003038</v>
      </c>
      <c r="D25" s="101">
        <v>40.72931900000003</v>
      </c>
      <c r="E25" s="102">
        <v>1.0</v>
      </c>
      <c r="F25" s="102">
        <v>0.999023028611305</v>
      </c>
      <c r="G25" s="103">
        <v>119.61212555083347</v>
      </c>
      <c r="H25" s="104">
        <v>46064</v>
      </c>
      <c r="I25" s="102">
        <v>0.046875</v>
      </c>
      <c r="J25" s="101">
        <v>20</v>
      </c>
      <c r="K25" s="101">
        <v>100</v>
      </c>
      <c r="L25" s="102">
        <v>1</v>
      </c>
      <c r="M25" s="102">
        <v>0.95</v>
      </c>
      <c r="N25" s="103">
        <v>60</v>
      </c>
      <c r="O25" s="104"/>
      <c r="P25" s="102"/>
    </row>
    <row r="26" spans="2:16" ns3:dyDescent="0.15">
      <c r="B26" s="100" t="inlineStr">
        <is>
          <t>impulse-delay-trace</t>
        </is>
      </c>
      <c r="C26" s="101">
        <v>9.810649999991483</v>
      </c>
      <c r="D26" s="101">
        <v>40.52105599999777</v>
      </c>
      <c r="E26" s="102">
        <v>1.0</v>
      </c>
      <c r="F26" s="102">
        <v>0.9991623621387686</v>
      </c>
      <c r="G26" s="103">
        <v>119.42269878480703</v>
      </c>
      <c r="H26" s="104">
        <v>46064</v>
      </c>
      <c r="I26" s="102">
        <v>0.04688103812877047</v>
      </c>
      <c r="J26" s="101">
        <v>20</v>
      </c>
      <c r="K26" s="101">
        <v>100</v>
      </c>
      <c r="L26" s="102">
        <v>1</v>
      </c>
      <c r="M26" s="102">
        <v>0.95</v>
      </c>
      <c r="N26" s="103">
        <v>60</v>
      </c>
      <c r="O26" s="104"/>
      <c r="P26" s="102"/>
    </row>
    <row r="27" spans="2:16" ns3:dyDescent="0.15">
      <c r="B27" s="100" t="inlineStr">
        <is>
          <t>impulse-delay-full</t>
        </is>
      </c>
      <c r="C27" s="101">
        <v>9.653440000001012</v>
      </c>
      <c r="D27" s="101">
        <v>40.6436920000051</v>
      </c>
      <c r="E27" s="102">
        <v>1.0</v>
      </c>
      <c r="F27" s="102">
        <v>0.9976190476190476</v>
      </c>
      <c r="G27" s="103">
        <v>119.47808092937822</v>
      </c>
      <c r="H27" s="104">
        <v>46080</v>
      </c>
      <c r="I27" s="102">
        <v>0.04687131620121311</v>
      </c>
      <c r="J27" s="101">
        <v>20</v>
      </c>
      <c r="K27" s="101">
        <v>100</v>
      </c>
      <c r="L27" s="102">
        <v>1</v>
      </c>
      <c r="M27" s="102">
        <v>0.95</v>
      </c>
      <c r="N27" s="103">
        <v>60</v>
      </c>
      <c r="O27" s="104"/>
      <c r="P27" s="102"/>
    </row>
    <row r="28" spans="2:16" ns3:dyDescent="0.1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2:16" ht="22" customHeight="1" ns3:dyDescent="0.15">
      <c r="B29" s="86" t="inlineStr">
        <is>
          <t>RECORDED PROTOCOL</t>
        </is>
      </c>
      <c r="C29" s="86"/>
      <c r="D29" s="86"/>
      <c r="E29" s="86"/>
      <c r="F29" s="28"/>
      <c r="G29" s="86" t="inlineStr">
        <is>
          <t>EVIDENCE BOUNDARY</t>
        </is>
      </c>
      <c r="H29" s="86"/>
      <c r="I29" s="86"/>
      <c r="J29" s="86"/>
      <c r="K29" s="28"/>
      <c r="L29" s="28"/>
      <c r="M29" s="28"/>
      <c r="N29" s="28"/>
      <c r="O29" s="28"/>
      <c r="P29" s="28"/>
    </row>
    <row r="30" spans="2:16" ns3:dyDescent="0.15">
      <c r="B30" s="3" t="inlineStr">
        <is>
          <t>3 fixed repeats per case</t>
        </is>
      </c>
      <c r="C30" s="3"/>
      <c r="D30" s="28"/>
      <c r="E30" s="28"/>
      <c r="F30" s="28"/>
      <c r="G30" s="3" t="inlineStr">
        <is>
          <t>No cognition or efficacy claim</t>
        </is>
      </c>
      <c r="H30" s="3"/>
      <c r="I30" s="28"/>
      <c r="J30" s="28"/>
      <c r="K30" s="28"/>
      <c r="L30" s="28"/>
      <c r="M30" s="28"/>
      <c r="N30" s="28"/>
      <c r="O30" s="28"/>
      <c r="P30" s="28"/>
    </row>
    <row r="31" spans="2:16" ns3:dyDescent="0.15">
      <c r="B31" s="4" t="inlineStr">
        <is>
          <t>Mixed results remain unresolved</t>
        </is>
      </c>
      <c r="C31" s="35"/>
      <c r="D31" s="28"/>
      <c r="E31" s="28"/>
      <c r="F31" s="28"/>
      <c r="G31" s="4" t="inlineStr">
        <is>
          <t>Frame timing is submission cadence</t>
        </is>
      </c>
      <c r="H31" s="32"/>
      <c r="I31" s="28"/>
      <c r="J31" s="28"/>
      <c r="K31" s="28"/>
      <c r="L31" s="28"/>
      <c r="M31" s="28"/>
      <c r="N31" s="28"/>
      <c r="O31" s="28"/>
      <c r="P31" s="28"/>
    </row>
    <row r="32" spans="2:16" ns3:dyDescent="0.15">
      <c r="B32" s="4" t="inlineStr">
        <is>
          <t>No extra or replacement runs</t>
        </is>
      </c>
      <c r="C32" s="32"/>
      <c r="D32" s="28"/>
      <c r="E32" s="28"/>
      <c r="F32" s="28"/>
      <c r="G32" s="4" t="inlineStr">
        <is>
          <t>Age begins at viewer receipt</t>
        </is>
      </c>
      <c r="H32" s="32"/>
      <c r="I32" s="28"/>
      <c r="J32" s="28"/>
      <c r="K32" s="28"/>
      <c r="L32" s="28"/>
      <c r="M32" s="28"/>
      <c r="N32" s="28"/>
      <c r="O32" s="28"/>
      <c r="P32" s="28"/>
    </row>
    <row r="33" spans="2:16" ns3:dyDescent="0.15">
      <c r="B33" s="4" t="inlineStr">
        <is>
          <t>Only clean release builds are quotable</t>
        </is>
      </c>
      <c r="C33" s="32"/>
      <c r="D33" s="28"/>
      <c r="E33" s="28"/>
      <c r="F33" s="28"/>
      <c r="G33" s="4" t="inlineStr">
        <is>
          <t>Source templates remain unchanged</t>
        </is>
      </c>
      <c r="H33" s="32"/>
      <c r="I33" s="28"/>
      <c r="J33" s="28"/>
      <c r="K33" s="28"/>
      <c r="L33" s="28"/>
      <c r="M33" s="28"/>
      <c r="N33" s="28"/>
      <c r="O33" s="28"/>
      <c r="P33" s="28"/>
    </row>
    <row r="34" spans="2:16" ns3:dyDescent="0.15">
      <c r="B34" s="4"/>
      <c r="C34" s="32"/>
      <c r="D34" s="28"/>
      <c r="E34" s="28"/>
      <c r="F34" s="28"/>
      <c r="G34" s="4"/>
      <c r="H34" s="32"/>
      <c r="I34" s="28"/>
      <c r="J34" s="28"/>
      <c r="K34" s="28"/>
      <c r="L34" s="28"/>
      <c r="M34" s="28"/>
      <c r="N34" s="28"/>
      <c r="O34" s="28"/>
      <c r="P34" s="28"/>
    </row>
    <row r="35" spans="2:16" ns3:dyDescent="0.15">
      <c r="B35" s="4"/>
      <c r="C35" s="32"/>
      <c r="D35" s="28"/>
      <c r="E35" s="28"/>
      <c r="F35" s="28"/>
      <c r="G35" s="5"/>
      <c r="H35" s="26"/>
      <c r="I35" s="28"/>
      <c r="J35" s="28"/>
      <c r="K35" s="28"/>
      <c r="L35" s="28"/>
      <c r="M35" s="28"/>
      <c r="N35" s="28"/>
      <c r="O35" s="28"/>
      <c r="P35" s="28"/>
    </row>
  </sheetData>
  <mergeCells count="7">
    <mergeCell ref="C11:P11"/>
    <mergeCell ref="B13:P13"/>
    <mergeCell ref="B29:E29"/>
    <mergeCell ref="G29:J29"/>
    <mergeCell ref="B5:P5"/>
    <mergeCell ref="B6:P6"/>
    <mergeCell ref="B7:P7"/>
  </mergeCells>
  <dataValidations count="1">
    <dataValidation type="list" sqref="C9" ns2:uid="{00000000-0002-0000-0100-000000000000}">
      <formula1>$B$16:$B$27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T13"/>
  <sheetViews>
    <sheetView showGridLines="0" workbookViewId="0"/>
  </sheetViews>
  <sheetFormatPr baseColWidth="10" defaultColWidth="8.83203125" defaultRowHeight="14" ns3:dyDescent="0.15"/>
  <cols>
    <col min="1" max="1" width="27" customWidth="1"/>
    <col min="2" max="4" width="14" customWidth="1"/>
    <col min="5" max="5" width="12" customWidth="1"/>
    <col min="6" max="6" width="14" customWidth="1"/>
    <col min="7" max="7" width="3" customWidth="1"/>
    <col min="8" max="8" width="14" customWidth="1"/>
    <col min="9" max="9" width="15" customWidth="1"/>
    <col min="10" max="10" width="14" customWidth="1"/>
    <col min="11" max="11" width="3" customWidth="1"/>
    <col min="12" max="12" width="14" customWidth="1"/>
    <col min="13" max="13" width="15" customWidth="1"/>
    <col min="14" max="14" width="14" customWidth="1"/>
    <col min="15" max="15" width="3" customWidth="1"/>
    <col min="16" max="16" width="24" customWidth="1"/>
    <col min="17" max="17" width="15" customWidth="1"/>
    <col min="18" max="18" width="3" customWidth="1"/>
    <col min="19" max="19" width="16" customWidth="1"/>
    <col min="20" max="20" width="15" customWidth="1"/>
  </cols>
  <sheetData>
    <row r="1" spans="1:20" ns3:dyDescent="0.15">
      <c r="A1" s="89"/>
      <c r="B1" s="89"/>
      <c r="C1" s="89"/>
      <c r="D1" s="89"/>
      <c r="E1" s="89"/>
      <c r="F1" s="89"/>
      <c r="G1" s="90"/>
      <c r="H1" s="89"/>
      <c r="I1" s="89"/>
      <c r="J1" s="89"/>
      <c r="K1" s="90"/>
      <c r="L1" s="89"/>
      <c r="M1" s="89"/>
      <c r="N1" s="89"/>
      <c r="O1" s="90"/>
      <c r="P1" s="89"/>
      <c r="Q1" s="89"/>
      <c r="R1" s="90"/>
      <c r="S1" s="89"/>
      <c r="T1" s="89"/>
    </row>
    <row r="2" spans="1:20" ns3:dyDescent="0.15">
      <c r="A2" s="105" t="inlineStr">
        <is>
          <t>Frame p95 ms</t>
        </is>
      </c>
      <c r="B2" s="106">
        <f>IF(COUNT(INDEX('Data &amp; Targets'!$C$16:$C$27,MATCH('Data &amp; Targets'!$C$9,'Data &amp; Targets'!$B$16:$B$27,0)))=0,"",INDEX('Data &amp; Targets'!$C$16:$C$27,MATCH('Data &amp; Targets'!$C$9,'Data &amp; Targets'!$B$16:$B$27,0)))</f>
        <v>10.091424999998821</v>
      </c>
      <c r="C2" s="106">
        <f>IF(COUNT(INDEX('Data &amp; Targets'!$J$16:$J$27,MATCH('Data &amp; Targets'!$C$9,'Data &amp; Targets'!$B$16:$B$27,0)))=0,"",INDEX('Data &amp; Targets'!$J$16:$J$27,MATCH('Data &amp; Targets'!$C$9,'Data &amp; Targets'!$B$16:$B$27,0)))</f>
        <v>20</v>
      </c>
      <c r="D2" s="106"/>
      <c r="E2" s="105" t="inlineStr">
        <is>
          <t>Lower</t>
        </is>
      </c>
      <c r="F2" s="105" t="str">
        <f>IF(B2="","Not measured",IF(C2="","Observed",IF(IF(E2="Lower",B2&lt;=C2,B2&gt;=C2),"Within reference","Outside reference")))</f>
        <v>Observed</v>
      </c>
      <c r="G2" s="90"/>
      <c r="H2" s="126" t="str">
        <f>'Data &amp; Targets'!B16</f>
        <v>rhythmic-channels-trace</v>
      </c>
      <c r="I2" s="105">
        <f>IF(COUNT('Data &amp; Targets'!C16)=0,NA(),'Data &amp; Targets'!C16)</f>
      </c>
      <c r="J2" s="105">
        <f>IF(COUNT('Data &amp; Targets'!J16)=0,NA(),'Data &amp; Targets'!J16)</f>
      </c>
      <c r="K2" s="90"/>
      <c r="L2" s="126" t="str">
        <f>'Data &amp; Targets'!B16</f>
        <v>rhythmic-channels-trace</v>
      </c>
      <c r="M2" s="105">
        <f>IF(COUNT('Data &amp; Targets'!D16)=0,NA(),'Data &amp; Targets'!D16)</f>
      </c>
      <c r="N2" s="105">
        <f>IF(COUNT('Data &amp; Targets'!K16)=0,NA(),'Data &amp; Targets'!K16)</f>
      </c>
      <c r="O2" s="90"/>
      <c r="P2" s="105" t="inlineStr">
        <is>
          <t>&lt;10 ms</t>
        </is>
      </c>
      <c r="Q2" s="106">
        <v>250923</v>
      </c>
      <c r="R2" s="90"/>
      <c r="S2" s="105" t="inlineStr">
        <is>
          <t>accepted</t>
        </is>
      </c>
      <c r="T2" s="109">
        <v>12</v>
      </c>
    </row>
    <row r="3" spans="1:20" ns3:dyDescent="0.15">
      <c r="A3" s="105" t="inlineStr">
        <is>
          <t>Age p95 ms</t>
        </is>
      </c>
      <c r="B3" s="106">
        <f>IF(COUNT(INDEX('Data &amp; Targets'!$D$16:$D$27,MATCH('Data &amp; Targets'!$C$9,'Data &amp; Targets'!$B$16:$B$27,0)))=0,"",INDEX('Data &amp; Targets'!$D$16:$D$27,MATCH('Data &amp; Targets'!$C$9,'Data &amp; Targets'!$B$16:$B$27,0)))</f>
        <v>40.70787000000564</v>
      </c>
      <c r="C3" s="106">
        <f>IF(COUNT(INDEX('Data &amp; Targets'!$K$16:$K$27,MATCH('Data &amp; Targets'!$C$9,'Data &amp; Targets'!$B$16:$B$27,0)))=0,"",INDEX('Data &amp; Targets'!$K$16:$K$27,MATCH('Data &amp; Targets'!$C$9,'Data &amp; Targets'!$B$16:$B$27,0)))</f>
        <v>100</v>
      </c>
      <c r="D3" s="106"/>
      <c r="E3" s="105" t="inlineStr">
        <is>
          <t>Lower</t>
        </is>
      </c>
      <c r="F3" s="105" t="str">
        <f>IF(B3="","Not measured",IF(C3="","Observed",IF(IF(E3="Lower",B3&lt;=C3,B3&gt;=C3),"Within reference","Outside reference")))</f>
        <v>Observed</v>
      </c>
      <c r="G3" s="90"/>
      <c r="H3" s="126" t="str">
        <f>'Data &amp; Targets'!B17</f>
        <v>rhythmic-channels-full</v>
      </c>
      <c r="I3" s="105">
        <f>IF(COUNT('Data &amp; Targets'!C17)=0,NA(),'Data &amp; Targets'!C17)</f>
      </c>
      <c r="J3" s="105">
        <f>IF(COUNT('Data &amp; Targets'!J17)=0,NA(),'Data &amp; Targets'!J17)</f>
      </c>
      <c r="K3" s="90"/>
      <c r="L3" s="126" t="str">
        <f>'Data &amp; Targets'!B17</f>
        <v>rhythmic-channels-full</v>
      </c>
      <c r="M3" s="105">
        <f>IF(COUNT('Data &amp; Targets'!D17)=0,NA(),'Data &amp; Targets'!D17)</f>
      </c>
      <c r="N3" s="105">
        <f>IF(COUNT('Data &amp; Targets'!K17)=0,NA(),'Data &amp; Targets'!K17)</f>
      </c>
      <c r="O3" s="90"/>
      <c r="P3" s="105" t="inlineStr">
        <is>
          <t>10–20 ms</t>
        </is>
      </c>
      <c r="Q3" s="106">
        <v>6960</v>
      </c>
      <c r="R3" s="90"/>
      <c r="S3" s="105" t="inlineStr">
        <is>
          <t>targets not met</t>
        </is>
      </c>
      <c r="T3" s="109">
        <v>0</v>
      </c>
    </row>
    <row r="4" spans="1:20" ns3:dyDescent="0.15">
      <c r="A4" s="105" t="inlineStr">
        <is>
          <t>Live fraction</t>
        </is>
      </c>
      <c r="B4" s="107">
        <f>IF(COUNT(INDEX('Data &amp; Targets'!$E$16:$E$27,MATCH('Data &amp; Targets'!$C$9,'Data &amp; Targets'!$B$16:$B$27,0)))=0,"",INDEX('Data &amp; Targets'!$E$16:$E$27,MATCH('Data &amp; Targets'!$C$9,'Data &amp; Targets'!$B$16:$B$27,0)))</f>
        <v>1.0</v>
      </c>
      <c r="C4" s="107">
        <f>IF(COUNT(INDEX('Data &amp; Targets'!$L$16:$L$27,MATCH('Data &amp; Targets'!$C$9,'Data &amp; Targets'!$B$16:$B$27,0)))=0,"",INDEX('Data &amp; Targets'!$L$16:$L$27,MATCH('Data &amp; Targets'!$C$9,'Data &amp; Targets'!$B$16:$B$27,0)))</f>
        <v>1</v>
      </c>
      <c r="D4" s="107"/>
      <c r="E4" s="105" t="inlineStr">
        <is>
          <t>Higher</t>
        </is>
      </c>
      <c r="F4" s="105" t="str">
        <f>IF(B4="","Not measured",IF(C4="","Observed",IF(IF(E4="Lower",B4&lt;=C4,B4&gt;=C4),"Within reference","Outside reference")))</f>
        <v>Observed</v>
      </c>
      <c r="G4" s="90"/>
      <c r="H4" s="126" t="str">
        <f>'Data &amp; Targets'!B18</f>
        <v>rhythmic-delay-trace</v>
      </c>
      <c r="I4" s="105">
        <f>IF(COUNT('Data &amp; Targets'!C18)=0,NA(),'Data &amp; Targets'!C18)</f>
      </c>
      <c r="J4" s="105">
        <f>IF(COUNT('Data &amp; Targets'!J18)=0,NA(),'Data &amp; Targets'!J18)</f>
      </c>
      <c r="K4" s="90"/>
      <c r="L4" s="126" t="str">
        <f>'Data &amp; Targets'!B18</f>
        <v>rhythmic-delay-trace</v>
      </c>
      <c r="M4" s="105">
        <f>IF(COUNT('Data &amp; Targets'!D18)=0,NA(),'Data &amp; Targets'!D18)</f>
      </c>
      <c r="N4" s="105">
        <f>IF(COUNT('Data &amp; Targets'!K18)=0,NA(),'Data &amp; Targets'!K18)</f>
      </c>
      <c r="O4" s="90"/>
      <c r="P4" s="105" t="inlineStr">
        <is>
          <t>20–30 ms</t>
        </is>
      </c>
      <c r="Q4" s="106">
        <v>60</v>
      </c>
      <c r="R4" s="90"/>
      <c r="S4" s="105" t="inlineStr">
        <is>
          <t>unresolved</t>
        </is>
      </c>
      <c r="T4" s="109">
        <v>0</v>
      </c>
    </row>
    <row r="5" spans="1:20" ns3:dyDescent="0.15">
      <c r="A5" s="105" t="inlineStr">
        <is>
          <t>Within 20ms</t>
        </is>
      </c>
      <c r="B5" s="107">
        <f>IF(COUNT(INDEX('Data &amp; Targets'!$F$16:$F$27,MATCH('Data &amp; Targets'!$C$9,'Data &amp; Targets'!$B$16:$B$27,0)))=0,"",INDEX('Data &amp; Targets'!$F$16:$F$27,MATCH('Data &amp; Targets'!$C$9,'Data &amp; Targets'!$B$16:$B$27,0)))</f>
        <v>0.9991630631887293</v>
      </c>
      <c r="C5" s="107">
        <f>IF(COUNT(INDEX('Data &amp; Targets'!$M$16:$M$27,MATCH('Data &amp; Targets'!$C$9,'Data &amp; Targets'!$B$16:$B$27,0)))=0,"",INDEX('Data &amp; Targets'!$M$16:$M$27,MATCH('Data &amp; Targets'!$C$9,'Data &amp; Targets'!$B$16:$B$27,0)))</f>
        <v>0.95</v>
      </c>
      <c r="D5" s="107"/>
      <c r="E5" s="105" t="inlineStr">
        <is>
          <t>Higher</t>
        </is>
      </c>
      <c r="F5" s="105" t="str">
        <f>IF(B5="","Not measured",IF(C5="","Observed",IF(IF(E5="Lower",B5&lt;=C5,B5&gt;=C5),"Within reference","Outside reference")))</f>
        <v>Observed</v>
      </c>
      <c r="G5" s="90"/>
      <c r="H5" s="126" t="str">
        <f>'Data &amp; Targets'!B19</f>
        <v>rhythmic-delay-full</v>
      </c>
      <c r="I5" s="105">
        <f>IF(COUNT('Data &amp; Targets'!C19)=0,NA(),'Data &amp; Targets'!C19)</f>
      </c>
      <c r="J5" s="105">
        <f>IF(COUNT('Data &amp; Targets'!J19)=0,NA(),'Data &amp; Targets'!J19)</f>
      </c>
      <c r="K5" s="90"/>
      <c r="L5" s="126" t="str">
        <f>'Data &amp; Targets'!B19</f>
        <v>rhythmic-delay-full</v>
      </c>
      <c r="M5" s="105">
        <f>IF(COUNT('Data &amp; Targets'!D19)=0,NA(),'Data &amp; Targets'!D19)</f>
      </c>
      <c r="N5" s="105">
        <f>IF(COUNT('Data &amp; Targets'!K19)=0,NA(),'Data &amp; Targets'!K19)</f>
      </c>
      <c r="O5" s="90"/>
      <c r="P5" s="105" t="inlineStr">
        <is>
          <t>30–50 ms</t>
        </is>
      </c>
      <c r="Q5" s="106">
        <v>189</v>
      </c>
      <c r="R5" s="90"/>
      <c r="S5" s="105" t="inlineStr">
        <is>
          <t>not measured</t>
        </is>
      </c>
      <c r="T5" s="109">
        <v>0</v>
      </c>
    </row>
    <row r="6" spans="1:20" ns3:dyDescent="0.15">
      <c r="A6" s="105" t="inlineStr">
        <is>
          <t>Median FPS</t>
        </is>
      </c>
      <c r="B6" s="108">
        <f>IF(COUNT(INDEX('Data &amp; Targets'!$G$16:$G$27,MATCH('Data &amp; Targets'!$C$9,'Data &amp; Targets'!$B$16:$B$27,0)))=0,"",INDEX('Data &amp; Targets'!$G$16:$G$27,MATCH('Data &amp; Targets'!$C$9,'Data &amp; Targets'!$B$16:$B$27,0)))</f>
        <v>119.6085475936106</v>
      </c>
      <c r="C6" s="108">
        <f>IF(COUNT(INDEX('Data &amp; Targets'!$N$16:$N$27,MATCH('Data &amp; Targets'!$C$9,'Data &amp; Targets'!$B$16:$B$27,0)))=0,"",INDEX('Data &amp; Targets'!$N$16:$N$27,MATCH('Data &amp; Targets'!$C$9,'Data &amp; Targets'!$B$16:$B$27,0)))</f>
        <v>60</v>
      </c>
      <c r="D6" s="108"/>
      <c r="E6" s="105" t="inlineStr">
        <is>
          <t>Higher</t>
        </is>
      </c>
      <c r="F6" s="105" t="str">
        <f>IF(B6="","Not measured",IF(C6="","Observed",IF(IF(E6="Lower",B6&lt;=C6,B6&gt;=C6),"Within reference","Outside reference")))</f>
        <v>Observed</v>
      </c>
      <c r="G6" s="90"/>
      <c r="H6" s="126" t="str">
        <f>'Data &amp; Targets'!B20</f>
        <v>noise-channels-trace</v>
      </c>
      <c r="I6" s="105">
        <f>IF(COUNT('Data &amp; Targets'!C20)=0,NA(),'Data &amp; Targets'!C20)</f>
      </c>
      <c r="J6" s="105">
        <f>IF(COUNT('Data &amp; Targets'!J20)=0,NA(),'Data &amp; Targets'!J20)</f>
      </c>
      <c r="K6" s="90"/>
      <c r="L6" s="126" t="str">
        <f>'Data &amp; Targets'!B20</f>
        <v>noise-channels-trace</v>
      </c>
      <c r="M6" s="105">
        <f>IF(COUNT('Data &amp; Targets'!D20)=0,NA(),'Data &amp; Targets'!D20)</f>
      </c>
      <c r="N6" s="105">
        <f>IF(COUNT('Data &amp; Targets'!K20)=0,NA(),'Data &amp; Targets'!K20)</f>
      </c>
      <c r="O6" s="90"/>
      <c r="P6" s="105" t="inlineStr">
        <is>
          <t>≥50 ms</t>
        </is>
      </c>
      <c r="Q6" s="106">
        <v>2</v>
      </c>
      <c r="R6" s="90"/>
      <c r="S6" s="90"/>
      <c r="T6" s="90"/>
    </row>
    <row r="7" spans="1:20" ns3:dyDescent="0.15">
      <c r="A7" s="105" t="inlineStr">
        <is>
          <t>Accepted samples</t>
        </is>
      </c>
      <c r="B7" s="109">
        <f>IF(COUNT(INDEX('Data &amp; Targets'!$H$16:$H$27,MATCH('Data &amp; Targets'!$C$9,'Data &amp; Targets'!$B$16:$B$27,0)))=0,"",INDEX('Data &amp; Targets'!$H$16:$H$27,MATCH('Data &amp; Targets'!$C$9,'Data &amp; Targets'!$B$16:$B$27,0)))</f>
        <v>46056</v>
      </c>
      <c r="C7" s="109">
        <f>IF(COUNT(INDEX('Data &amp; Targets'!$O$16:$O$27,MATCH('Data &amp; Targets'!$C$9,'Data &amp; Targets'!$B$16:$B$27,0)))=0,"",INDEX('Data &amp; Targets'!$O$16:$O$27,MATCH('Data &amp; Targets'!$C$9,'Data &amp; Targets'!$B$16:$B$27,0)))</f>
      </c>
      <c r="D7" s="109"/>
      <c r="E7" s="105" t="inlineStr">
        <is>
          <t>Higher</t>
        </is>
      </c>
      <c r="F7" s="105" t="str">
        <f>IF(B7="","Not measured",IF(C7="","Observed",IF(IF(E7="Lower",B7&lt;=C7,B7&gt;=C7),"Within reference","Outside reference")))</f>
        <v>Observed</v>
      </c>
      <c r="G7" s="90"/>
      <c r="H7" s="126" t="str">
        <f>'Data &amp; Targets'!B21</f>
        <v>noise-channels-full</v>
      </c>
      <c r="I7" s="105">
        <f>IF(COUNT('Data &amp; Targets'!C21)=0,NA(),'Data &amp; Targets'!C21)</f>
      </c>
      <c r="J7" s="105">
        <f>IF(COUNT('Data &amp; Targets'!J21)=0,NA(),'Data &amp; Targets'!J21)</f>
      </c>
      <c r="K7" s="90"/>
      <c r="L7" s="126" t="str">
        <f>'Data &amp; Targets'!B21</f>
        <v>noise-channels-full</v>
      </c>
      <c r="M7" s="105">
        <f>IF(COUNT('Data &amp; Targets'!D21)=0,NA(),'Data &amp; Targets'!D21)</f>
      </c>
      <c r="N7" s="105">
        <f>IF(COUNT('Data &amp; Targets'!K21)=0,NA(),'Data &amp; Targets'!K21)</f>
      </c>
      <c r="O7" s="90"/>
      <c r="P7" s="90"/>
      <c r="Q7" s="90"/>
      <c r="R7" s="90"/>
      <c r="S7" s="90"/>
      <c r="T7" s="90"/>
    </row>
    <row r="8" spans="1:20" ns3:dyDescent="0.15">
      <c r="A8" s="105" t="inlineStr">
        <is>
          <t>Clipped fraction</t>
        </is>
      </c>
      <c r="B8" s="107">
        <f>IF(COUNT(INDEX('Data &amp; Targets'!$I$16:$I$27,MATCH('Data &amp; Targets'!$C$9,'Data &amp; Targets'!$B$16:$B$27,0)))=0,"",INDEX('Data &amp; Targets'!$I$16:$I$27,MATCH('Data &amp; Targets'!$C$9,'Data &amp; Targets'!$B$16:$B$27,0)))</f>
        <v>0.0</v>
      </c>
      <c r="C8" s="107">
        <f>IF(COUNT(INDEX('Data &amp; Targets'!$P$16:$P$27,MATCH('Data &amp; Targets'!$C$9,'Data &amp; Targets'!$B$16:$B$27,0)))=0,"",INDEX('Data &amp; Targets'!$P$16:$P$27,MATCH('Data &amp; Targets'!$C$9,'Data &amp; Targets'!$B$16:$B$27,0)))</f>
      </c>
      <c r="D8" s="107"/>
      <c r="E8" s="105" t="inlineStr">
        <is>
          <t>Lower</t>
        </is>
      </c>
      <c r="F8" s="105" t="str">
        <f>IF(B8="","Not measured",IF(C8="","Observed",IF(IF(E8="Lower",B8&lt;=C8,B8&gt;=C8),"Within reference","Outside reference")))</f>
        <v>Observed</v>
      </c>
      <c r="G8" s="90"/>
      <c r="H8" s="126" t="str">
        <f>'Data &amp; Targets'!B22</f>
        <v>noise-delay-trace</v>
      </c>
      <c r="I8" s="105">
        <f>IF(COUNT('Data &amp; Targets'!C22)=0,NA(),'Data &amp; Targets'!C22)</f>
      </c>
      <c r="J8" s="105">
        <f>IF(COUNT('Data &amp; Targets'!J22)=0,NA(),'Data &amp; Targets'!J22)</f>
      </c>
      <c r="K8" s="90"/>
      <c r="L8" s="126" t="str">
        <f>'Data &amp; Targets'!B22</f>
        <v>noise-delay-trace</v>
      </c>
      <c r="M8" s="105">
        <f>IF(COUNT('Data &amp; Targets'!D22)=0,NA(),'Data &amp; Targets'!D22)</f>
      </c>
      <c r="N8" s="105">
        <f>IF(COUNT('Data &amp; Targets'!K22)=0,NA(),'Data &amp; Targets'!K22)</f>
      </c>
      <c r="O8" s="90"/>
      <c r="P8" s="90"/>
      <c r="Q8" s="90"/>
      <c r="R8" s="90"/>
      <c r="S8" s="90"/>
      <c r="T8" s="90"/>
    </row>
    <row r="9" spans="1:20" ns3:dyDescent="0.15">
      <c r="A9" s="105" t="inlineStr">
        <is>
          <t>Skipped notifications</t>
        </is>
      </c>
      <c r="B9" s="110">
        <f>IF(COUNTIF(Runs!$A$2:$A$37,'Data &amp; Targets'!$C$9)=0,"",SUMIF(Runs!$A$2:$A$37,'Data &amp; Targets'!$C$9,Runs!$O$2:$O$37))</f>
        <v>0</v>
      </c>
      <c r="C9" s="96"/>
      <c r="D9" s="110"/>
      <c r="E9" s="105" t="inlineStr">
        <is>
          <t>Lower</t>
        </is>
      </c>
      <c r="F9" s="105" t="str">
        <f>IF(B9="","Not measured",IF(C9="","Observed",IF(IF(E9="Lower",B9&lt;=C9,B9&gt;=C9),"Within reference","Outside reference")))</f>
        <v>Observed</v>
      </c>
      <c r="G9" s="90"/>
      <c r="H9" s="126" t="str">
        <f>'Data &amp; Targets'!B23</f>
        <v>noise-delay-full</v>
      </c>
      <c r="I9" s="105">
        <f>IF(COUNT('Data &amp; Targets'!C23)=0,NA(),'Data &amp; Targets'!C23)</f>
      </c>
      <c r="J9" s="105">
        <f>IF(COUNT('Data &amp; Targets'!J23)=0,NA(),'Data &amp; Targets'!J23)</f>
      </c>
      <c r="K9" s="90"/>
      <c r="L9" s="126" t="str">
        <f>'Data &amp; Targets'!B23</f>
        <v>noise-delay-full</v>
      </c>
      <c r="M9" s="105">
        <f>IF(COUNT('Data &amp; Targets'!D23)=0,NA(),'Data &amp; Targets'!D23)</f>
      </c>
      <c r="N9" s="105">
        <f>IF(COUNT('Data &amp; Targets'!K23)=0,NA(),'Data &amp; Targets'!K23)</f>
      </c>
      <c r="O9" s="90"/>
      <c r="P9" s="90"/>
      <c r="Q9" s="90"/>
      <c r="R9" s="90"/>
      <c r="S9" s="90"/>
      <c r="T9" s="90"/>
    </row>
    <row r="10" spans="1:20" ns3:dyDescent="0.15">
      <c r="A10" s="90"/>
      <c r="B10" s="90"/>
      <c r="C10" s="90"/>
      <c r="D10" s="90"/>
      <c r="E10" s="90"/>
      <c r="F10" s="90"/>
      <c r="G10" s="90"/>
      <c r="H10" s="126" t="str">
        <f>'Data &amp; Targets'!B24</f>
        <v>impulse-channels-trace</v>
      </c>
      <c r="I10" s="105">
        <f>IF(COUNT('Data &amp; Targets'!C24)=0,NA(),'Data &amp; Targets'!C24)</f>
      </c>
      <c r="J10" s="105">
        <f>IF(COUNT('Data &amp; Targets'!J24)=0,NA(),'Data &amp; Targets'!J24)</f>
      </c>
      <c r="K10" s="90"/>
      <c r="L10" s="126" t="str">
        <f>'Data &amp; Targets'!B24</f>
        <v>impulse-channels-trace</v>
      </c>
      <c r="M10" s="105">
        <f>IF(COUNT('Data &amp; Targets'!D24)=0,NA(),'Data &amp; Targets'!D24)</f>
      </c>
      <c r="N10" s="105">
        <f>IF(COUNT('Data &amp; Targets'!K24)=0,NA(),'Data &amp; Targets'!K24)</f>
      </c>
      <c r="O10" s="90"/>
      <c r="P10" s="90"/>
      <c r="Q10" s="90"/>
      <c r="R10" s="90"/>
      <c r="S10" s="90"/>
      <c r="T10" s="90"/>
    </row>
    <row r="11" spans="1:20" ns3:dyDescent="0.15">
      <c r="A11" s="90"/>
      <c r="B11" s="90"/>
      <c r="C11" s="90"/>
      <c r="D11" s="90"/>
      <c r="E11" s="90"/>
      <c r="F11" s="90"/>
      <c r="G11" s="90"/>
      <c r="H11" s="126" t="str">
        <f>'Data &amp; Targets'!B25</f>
        <v>impulse-channels-full</v>
      </c>
      <c r="I11" s="105">
        <f>IF(COUNT('Data &amp; Targets'!C25)=0,NA(),'Data &amp; Targets'!C25)</f>
      </c>
      <c r="J11" s="105">
        <f>IF(COUNT('Data &amp; Targets'!J25)=0,NA(),'Data &amp; Targets'!J25)</f>
      </c>
      <c r="K11" s="90"/>
      <c r="L11" s="126" t="str">
        <f>'Data &amp; Targets'!B25</f>
        <v>impulse-channels-full</v>
      </c>
      <c r="M11" s="105">
        <f>IF(COUNT('Data &amp; Targets'!D25)=0,NA(),'Data &amp; Targets'!D25)</f>
      </c>
      <c r="N11" s="105">
        <f>IF(COUNT('Data &amp; Targets'!K25)=0,NA(),'Data &amp; Targets'!K25)</f>
      </c>
      <c r="O11" s="90"/>
      <c r="P11" s="90"/>
      <c r="Q11" s="90"/>
      <c r="R11" s="90"/>
      <c r="S11" s="90"/>
      <c r="T11" s="90"/>
    </row>
    <row r="12" spans="1:20" ns3:dyDescent="0.15">
      <c r="A12" s="90"/>
      <c r="B12" s="90"/>
      <c r="C12" s="90"/>
      <c r="D12" s="90"/>
      <c r="E12" s="90"/>
      <c r="F12" s="90"/>
      <c r="G12" s="90"/>
      <c r="H12" s="126" t="str">
        <f>'Data &amp; Targets'!B26</f>
        <v>impulse-delay-trace</v>
      </c>
      <c r="I12" s="105">
        <f>IF(COUNT('Data &amp; Targets'!C26)=0,NA(),'Data &amp; Targets'!C26)</f>
      </c>
      <c r="J12" s="105">
        <f>IF(COUNT('Data &amp; Targets'!J26)=0,NA(),'Data &amp; Targets'!J26)</f>
      </c>
      <c r="K12" s="90"/>
      <c r="L12" s="126" t="str">
        <f>'Data &amp; Targets'!B26</f>
        <v>impulse-delay-trace</v>
      </c>
      <c r="M12" s="105">
        <f>IF(COUNT('Data &amp; Targets'!D26)=0,NA(),'Data &amp; Targets'!D26)</f>
      </c>
      <c r="N12" s="105">
        <f>IF(COUNT('Data &amp; Targets'!K26)=0,NA(),'Data &amp; Targets'!K26)</f>
      </c>
      <c r="O12" s="90"/>
      <c r="P12" s="90"/>
      <c r="Q12" s="90"/>
      <c r="R12" s="90"/>
      <c r="S12" s="90"/>
      <c r="T12" s="90"/>
    </row>
    <row r="13" spans="1:20" ns3:dyDescent="0.15">
      <c r="A13" s="90"/>
      <c r="B13" s="90"/>
      <c r="C13" s="90"/>
      <c r="D13" s="90"/>
      <c r="E13" s="90"/>
      <c r="F13" s="90"/>
      <c r="G13" s="90"/>
      <c r="H13" s="126" t="str">
        <f>'Data &amp; Targets'!B27</f>
        <v>impulse-delay-full</v>
      </c>
      <c r="I13" s="105">
        <f>IF(COUNT('Data &amp; Targets'!C27)=0,NA(),'Data &amp; Targets'!C27)</f>
      </c>
      <c r="J13" s="105">
        <f>IF(COUNT('Data &amp; Targets'!J27)=0,NA(),'Data &amp; Targets'!J27)</f>
      </c>
      <c r="K13" s="90"/>
      <c r="L13" s="126" t="str">
        <f>'Data &amp; Targets'!B27</f>
        <v>impulse-delay-full</v>
      </c>
      <c r="M13" s="105">
        <f>IF(COUNT('Data &amp; Targets'!D27)=0,NA(),'Data &amp; Targets'!D27)</f>
      </c>
      <c r="N13" s="105">
        <f>IF(COUNT('Data &amp; Targets'!K27)=0,NA(),'Data &amp; Targets'!K27)</f>
      </c>
      <c r="O13" s="90"/>
      <c r="P13" s="90"/>
      <c r="Q13" s="90"/>
      <c r="R13" s="90"/>
      <c r="S13" s="90"/>
      <c r="T13" s="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Q37"/>
  <sheetViews>
    <sheetView workbookViewId="0">
      <pane ySplit="1" topLeftCell="A2" activePane="bottomLeft" state="frozen"/>
    </sheetView>
  </sheetViews>
  <cols>
    <col min="1" max="1" width="32" customWidth="1"/>
    <col min="2" max="17" width="20" customWidth="1"/>
  </cols>
  <sheetData>
    <row r="1">
      <c r="A1" t="inlineStr">
        <is>
          <t>Case</t>
        </is>
      </c>
      <c r="B1" t="inlineStr">
        <is>
          <t>Repeat</t>
        </is>
      </c>
      <c r="C1" t="inlineStr">
        <is>
          <t>Quotable</t>
        </is>
      </c>
      <c r="D1" t="inlineStr">
        <is>
          <t>Frame p95 ms</t>
        </is>
      </c>
      <c r="E1" t="inlineStr">
        <is>
          <t>Age p95 ms</t>
        </is>
      </c>
      <c r="F1" t="inlineStr">
        <is>
          <t>FPS</t>
        </is>
      </c>
      <c r="G1" t="inlineStr">
        <is>
          <t>Duration s</t>
        </is>
      </c>
      <c r="H1" t="inlineStr">
        <is>
          <t>Rendered frames</t>
        </is>
      </c>
      <c r="I1" t="inlineStr">
        <is>
          <t>Accepted samples</t>
        </is>
      </c>
      <c r="J1" t="inlineStr">
        <is>
          <t>Live fraction</t>
        </is>
      </c>
      <c r="K1" t="inlineStr">
        <is>
          <t>Within budget</t>
        </is>
      </c>
      <c r="L1" t="inlineStr">
        <is>
          <t>Clipped fraction</t>
        </is>
      </c>
      <c r="M1" t="inlineStr">
        <is>
          <t>Commit</t>
        </is>
      </c>
      <c r="N1" t="inlineStr">
        <is>
          <t>Executable SHA256</t>
        </is>
      </c>
      <c r="O1" t="inlineStr">
        <is>
          <t>Skipped notifications</t>
        </is>
      </c>
      <c r="P1" t="inlineStr">
        <is>
          <t>GPU</t>
        </is>
      </c>
      <c r="Q1" t="inlineStr">
        <is>
          <t>Framebuffer</t>
        </is>
      </c>
    </row>
    <row r="2">
      <c r="A2" t="inlineStr">
        <is>
          <t>impulse-channels-full</t>
        </is>
      </c>
      <c r="B2">
        <v>1</v>
      </c>
      <c r="C2" t="inlineStr">
        <is>
          <t>True</t>
        </is>
      </c>
      <c r="D2">
        <v>9.11167799999646</v>
      </c>
      <c r="E2">
        <v>40.58349499999895</v>
      </c>
      <c r="F2">
        <v>119.61212555083347</v>
      </c>
      <c r="G2">
        <v>59.985557208</v>
      </c>
      <c r="H2">
        <v>7176</v>
      </c>
      <c r="I2">
        <v>15352</v>
      </c>
      <c r="J2">
        <v>1.0</v>
      </c>
      <c r="K2">
        <v>0.9993031358885017</v>
      </c>
      <c r="L2">
        <v>0.046875</v>
      </c>
      <c r="M2" t="inlineStr">
        <is>
          <t>3745369692fdd9908588316bac212f6e3b171183</t>
        </is>
      </c>
      <c r="N2" t="inlineStr">
        <is>
          <t>fcbd203c249400fbffb203ae99bbe5b384666732f91b4d24c21f16e715cbe029</t>
        </is>
      </c>
      <c r="O2">
        <v>0</v>
      </c>
      <c r="P2" t="inlineStr">
        <is>
          <t>AMD Radeon 890M Graphics (RADV STRIX1); Vulkan; radv; Mesa 26.0.8-1ubuntu0.3</t>
        </is>
      </c>
      <c r="Q2" t="inlineStr">
        <is>
          <t>[2346, 1091]</t>
        </is>
      </c>
    </row>
    <row r="3">
      <c r="A3" t="inlineStr">
        <is>
          <t>impulse-channels-full</t>
        </is>
      </c>
      <c r="B3">
        <v>2</v>
      </c>
      <c r="C3" t="inlineStr">
        <is>
          <t>True</t>
        </is>
      </c>
      <c r="D3">
        <v>9.171053999999401</v>
      </c>
      <c r="E3">
        <v>40.44585300000108</v>
      </c>
      <c r="F3">
        <v>119.62408408831068</v>
      </c>
      <c r="G3">
        <v>59.987920114000005</v>
      </c>
      <c r="H3">
        <v>7177</v>
      </c>
      <c r="I3">
        <v>15360</v>
      </c>
      <c r="J3">
        <v>1.0</v>
      </c>
      <c r="K3">
        <v>0.9991638795986622</v>
      </c>
      <c r="L3">
        <v>0.046875</v>
      </c>
      <c r="M3" t="inlineStr">
        <is>
          <t>3745369692fdd9908588316bac212f6e3b171183</t>
        </is>
      </c>
      <c r="N3" t="inlineStr">
        <is>
          <t>fcbd203c249400fbffb203ae99bbe5b384666732f91b4d24c21f16e715cbe029</t>
        </is>
      </c>
      <c r="O3">
        <v>0</v>
      </c>
      <c r="P3" t="inlineStr">
        <is>
          <t>AMD Radeon 890M Graphics (RADV STRIX1); Vulkan; radv; Mesa 26.0.8-1ubuntu0.3</t>
        </is>
      </c>
      <c r="Q3" t="inlineStr">
        <is>
          <t>[2346, 1091]</t>
        </is>
      </c>
    </row>
    <row r="4">
      <c r="A4" t="inlineStr">
        <is>
          <t>impulse-channels-full</t>
        </is>
      </c>
      <c r="B4">
        <v>3</v>
      </c>
      <c r="C4" t="inlineStr">
        <is>
          <t>True</t>
        </is>
      </c>
      <c r="D4">
        <v>9.613575000003038</v>
      </c>
      <c r="E4">
        <v>40.72931900000003</v>
      </c>
      <c r="F4">
        <v>119.4433370320327</v>
      </c>
      <c r="G4">
        <v>59.98660266900001</v>
      </c>
      <c r="H4">
        <v>7166</v>
      </c>
      <c r="I4">
        <v>15352</v>
      </c>
      <c r="J4">
        <v>1.0</v>
      </c>
      <c r="K4">
        <v>0.999023028611305</v>
      </c>
      <c r="L4">
        <v>0.046875</v>
      </c>
      <c r="M4" t="inlineStr">
        <is>
          <t>3745369692fdd9908588316bac212f6e3b171183</t>
        </is>
      </c>
      <c r="N4" t="inlineStr">
        <is>
          <t>fcbd203c249400fbffb203ae99bbe5b384666732f91b4d24c21f16e715cbe029</t>
        </is>
      </c>
      <c r="O4">
        <v>0</v>
      </c>
      <c r="P4" t="inlineStr">
        <is>
          <t>AMD Radeon 890M Graphics (RADV STRIX1); Vulkan; radv; Mesa 26.0.8-1ubuntu0.3</t>
        </is>
      </c>
      <c r="Q4" t="inlineStr">
        <is>
          <t>[2346, 1091]</t>
        </is>
      </c>
    </row>
    <row r="5">
      <c r="A5" t="inlineStr">
        <is>
          <t>impulse-channels-trace</t>
        </is>
      </c>
      <c r="B5">
        <v>1</v>
      </c>
      <c r="C5" t="inlineStr">
        <is>
          <t>True</t>
        </is>
      </c>
      <c r="D5">
        <v>9.511491999999677</v>
      </c>
      <c r="E5">
        <v>40.55729199999769</v>
      </c>
      <c r="F5">
        <v>119.31092517216453</v>
      </c>
      <c r="G5">
        <v>59.994505864999994</v>
      </c>
      <c r="H5">
        <v>7159</v>
      </c>
      <c r="I5">
        <v>15360</v>
      </c>
      <c r="J5">
        <v>1.0</v>
      </c>
      <c r="K5">
        <v>0.9984632578932663</v>
      </c>
      <c r="L5">
        <v>0.046875</v>
      </c>
      <c r="M5" t="inlineStr">
        <is>
          <t>3745369692fdd9908588316bac212f6e3b171183</t>
        </is>
      </c>
      <c r="N5" t="inlineStr">
        <is>
          <t>fcbd203c249400fbffb203ae99bbe5b384666732f91b4d24c21f16e715cbe029</t>
        </is>
      </c>
      <c r="O5">
        <v>0</v>
      </c>
      <c r="P5" t="inlineStr">
        <is>
          <t>AMD Radeon 890M Graphics (RADV STRIX1); Vulkan; radv; Mesa 26.0.8-1ubuntu0.3</t>
        </is>
      </c>
      <c r="Q5" t="inlineStr">
        <is>
          <t>[2346, 1091]</t>
        </is>
      </c>
    </row>
    <row r="6">
      <c r="A6" t="inlineStr">
        <is>
          <t>impulse-channels-trace</t>
        </is>
      </c>
      <c r="B6">
        <v>2</v>
      </c>
      <c r="C6" t="inlineStr">
        <is>
          <t>True</t>
        </is>
      </c>
      <c r="D6">
        <v>9.359142000000986</v>
      </c>
      <c r="E6">
        <v>40.473195000005944</v>
      </c>
      <c r="F6">
        <v>119.58506481493684</v>
      </c>
      <c r="G6">
        <v>59.990769007000004</v>
      </c>
      <c r="H6">
        <v>7175</v>
      </c>
      <c r="I6">
        <v>15352</v>
      </c>
      <c r="J6">
        <v>1.0</v>
      </c>
      <c r="K6">
        <v>0.9991636465012546</v>
      </c>
      <c r="L6">
        <v>0.046875</v>
      </c>
      <c r="M6" t="inlineStr">
        <is>
          <t>3745369692fdd9908588316bac212f6e3b171183</t>
        </is>
      </c>
      <c r="N6" t="inlineStr">
        <is>
          <t>fcbd203c249400fbffb203ae99bbe5b384666732f91b4d24c21f16e715cbe029</t>
        </is>
      </c>
      <c r="O6">
        <v>0</v>
      </c>
      <c r="P6" t="inlineStr">
        <is>
          <t>AMD Radeon 890M Graphics (RADV STRIX1); Vulkan; radv; Mesa 26.0.8-1ubuntu0.3</t>
        </is>
      </c>
      <c r="Q6" t="inlineStr">
        <is>
          <t>[2346, 1091]</t>
        </is>
      </c>
    </row>
    <row r="7">
      <c r="A7" t="inlineStr">
        <is>
          <t>impulse-channels-trace</t>
        </is>
      </c>
      <c r="B7">
        <v>3</v>
      </c>
      <c r="C7" t="inlineStr">
        <is>
          <t>True</t>
        </is>
      </c>
      <c r="D7">
        <v>9.442678999995735</v>
      </c>
      <c r="E7">
        <v>40.52849800000331</v>
      </c>
      <c r="F7">
        <v>119.66376129266074</v>
      </c>
      <c r="G7">
        <v>59.99310002</v>
      </c>
      <c r="H7">
        <v>7180</v>
      </c>
      <c r="I7">
        <v>15360</v>
      </c>
      <c r="J7">
        <v>1.0</v>
      </c>
      <c r="K7">
        <v>0.9991642290012537</v>
      </c>
      <c r="L7">
        <v>0.046875</v>
      </c>
      <c r="M7" t="inlineStr">
        <is>
          <t>3745369692fdd9908588316bac212f6e3b171183</t>
        </is>
      </c>
      <c r="N7" t="inlineStr">
        <is>
          <t>fcbd203c249400fbffb203ae99bbe5b384666732f91b4d24c21f16e715cbe029</t>
        </is>
      </c>
      <c r="O7">
        <v>0</v>
      </c>
      <c r="P7" t="inlineStr">
        <is>
          <t>AMD Radeon 890M Graphics (RADV STRIX1); Vulkan; radv; Mesa 26.0.8-1ubuntu0.3</t>
        </is>
      </c>
      <c r="Q7" t="inlineStr">
        <is>
          <t>[2346, 1091]</t>
        </is>
      </c>
    </row>
    <row r="8">
      <c r="A8" t="inlineStr">
        <is>
          <t>impulse-delay-full</t>
        </is>
      </c>
      <c r="B8">
        <v>1</v>
      </c>
      <c r="C8" t="inlineStr">
        <is>
          <t>True</t>
        </is>
      </c>
      <c r="D8">
        <v>9.653440000001012</v>
      </c>
      <c r="E8">
        <v>40.59560800000327</v>
      </c>
      <c r="F8">
        <v>119.01519207702486</v>
      </c>
      <c r="G8">
        <v>59.992341107</v>
      </c>
      <c r="H8">
        <v>7141</v>
      </c>
      <c r="I8">
        <v>15360</v>
      </c>
      <c r="J8">
        <v>1.0</v>
      </c>
      <c r="K8">
        <v>0.9976190476190476</v>
      </c>
      <c r="L8">
        <v>0.04687011892322773</v>
      </c>
      <c r="M8" t="inlineStr">
        <is>
          <t>3745369692fdd9908588316bac212f6e3b171183</t>
        </is>
      </c>
      <c r="N8" t="inlineStr">
        <is>
          <t>fcbd203c249400fbffb203ae99bbe5b384666732f91b4d24c21f16e715cbe029</t>
        </is>
      </c>
      <c r="O8">
        <v>0</v>
      </c>
      <c r="P8" t="inlineStr">
        <is>
          <t>AMD Radeon 890M Graphics (RADV STRIX1); Vulkan; radv; Mesa 26.0.8-1ubuntu0.3</t>
        </is>
      </c>
      <c r="Q8" t="inlineStr">
        <is>
          <t>[2346, 1091]</t>
        </is>
      </c>
    </row>
    <row r="9">
      <c r="A9" t="inlineStr">
        <is>
          <t>impulse-delay-full</t>
        </is>
      </c>
      <c r="B9">
        <v>2</v>
      </c>
      <c r="C9" t="inlineStr">
        <is>
          <t>True</t>
        </is>
      </c>
      <c r="D9">
        <v>9.556607999996913</v>
      </c>
      <c r="E9">
        <v>40.596542999999656</v>
      </c>
      <c r="F9">
        <v>119.47808092937822</v>
      </c>
      <c r="G9">
        <v>59.985898202</v>
      </c>
      <c r="H9">
        <v>7168</v>
      </c>
      <c r="I9">
        <v>15360</v>
      </c>
      <c r="J9">
        <v>1.0</v>
      </c>
      <c r="K9">
        <v>0.9988837728477745</v>
      </c>
      <c r="L9">
        <v>0.046863597827953296</v>
      </c>
      <c r="M9" t="inlineStr">
        <is>
          <t>3745369692fdd9908588316bac212f6e3b171183</t>
        </is>
      </c>
      <c r="N9" t="inlineStr">
        <is>
          <t>fcbd203c249400fbffb203ae99bbe5b384666732f91b4d24c21f16e715cbe029</t>
        </is>
      </c>
      <c r="O9">
        <v>0</v>
      </c>
      <c r="P9" t="inlineStr">
        <is>
          <t>AMD Radeon 890M Graphics (RADV STRIX1); Vulkan; radv; Mesa 26.0.8-1ubuntu0.3</t>
        </is>
      </c>
      <c r="Q9" t="inlineStr">
        <is>
          <t>[2346, 1091]</t>
        </is>
      </c>
    </row>
    <row r="10">
      <c r="A10" t="inlineStr">
        <is>
          <t>impulse-delay-full</t>
        </is>
      </c>
      <c r="B10">
        <v>3</v>
      </c>
      <c r="C10" t="inlineStr">
        <is>
          <t>True</t>
        </is>
      </c>
      <c r="D10">
        <v>9.39386600000347</v>
      </c>
      <c r="E10">
        <v>40.6436920000051</v>
      </c>
      <c r="F10">
        <v>119.62399579562228</v>
      </c>
      <c r="G10">
        <v>59.996323917</v>
      </c>
      <c r="H10">
        <v>7178</v>
      </c>
      <c r="I10">
        <v>15360</v>
      </c>
      <c r="J10">
        <v>1.0</v>
      </c>
      <c r="K10">
        <v>0.9991639960986485</v>
      </c>
      <c r="L10">
        <v>0.04687131620121311</v>
      </c>
      <c r="M10" t="inlineStr">
        <is>
          <t>3745369692fdd9908588316bac212f6e3b171183</t>
        </is>
      </c>
      <c r="N10" t="inlineStr">
        <is>
          <t>fcbd203c249400fbffb203ae99bbe5b384666732f91b4d24c21f16e715cbe029</t>
        </is>
      </c>
      <c r="O10">
        <v>0</v>
      </c>
      <c r="P10" t="inlineStr">
        <is>
          <t>AMD Radeon 890M Graphics (RADV STRIX1); Vulkan; radv; Mesa 26.0.8-1ubuntu0.3</t>
        </is>
      </c>
      <c r="Q10" t="inlineStr">
        <is>
          <t>[2346, 1091]</t>
        </is>
      </c>
    </row>
    <row r="11">
      <c r="A11" t="inlineStr">
        <is>
          <t>impulse-delay-trace</t>
        </is>
      </c>
      <c r="B11">
        <v>1</v>
      </c>
      <c r="C11" t="inlineStr">
        <is>
          <t>True</t>
        </is>
      </c>
      <c r="D11">
        <v>9.155173999999988</v>
      </c>
      <c r="E11">
        <v>40.473581999998714</v>
      </c>
      <c r="F11">
        <v>119.65585404480862</v>
      </c>
      <c r="G11">
        <v>59.988707258000005</v>
      </c>
      <c r="H11">
        <v>7179</v>
      </c>
      <c r="I11">
        <v>15352</v>
      </c>
      <c r="J11">
        <v>1.0</v>
      </c>
      <c r="K11">
        <v>0.9991641125661744</v>
      </c>
      <c r="L11">
        <v>0.04686813569492215</v>
      </c>
      <c r="M11" t="inlineStr">
        <is>
          <t>3745369692fdd9908588316bac212f6e3b171183</t>
        </is>
      </c>
      <c r="N11" t="inlineStr">
        <is>
          <t>fcbd203c249400fbffb203ae99bbe5b384666732f91b4d24c21f16e715cbe029</t>
        </is>
      </c>
      <c r="O11">
        <v>0</v>
      </c>
      <c r="P11" t="inlineStr">
        <is>
          <t>AMD Radeon 890M Graphics (RADV STRIX1); Vulkan; radv; Mesa 26.0.8-1ubuntu0.3</t>
        </is>
      </c>
      <c r="Q11" t="inlineStr">
        <is>
          <t>[2346, 1091]</t>
        </is>
      </c>
    </row>
    <row r="12">
      <c r="A12" t="inlineStr">
        <is>
          <t>impulse-delay-trace</t>
        </is>
      </c>
      <c r="B12">
        <v>2</v>
      </c>
      <c r="C12" t="inlineStr">
        <is>
          <t>True</t>
        </is>
      </c>
      <c r="D12">
        <v>9.13551600000062</v>
      </c>
      <c r="E12">
        <v>40.47607200000493</v>
      </c>
      <c r="F12">
        <v>119.42269878480703</v>
      </c>
      <c r="G12">
        <v>59.996969361000005</v>
      </c>
      <c r="H12">
        <v>7166</v>
      </c>
      <c r="I12">
        <v>15360</v>
      </c>
      <c r="J12">
        <v>1.0</v>
      </c>
      <c r="K12">
        <v>0.9991625959525471</v>
      </c>
      <c r="L12">
        <v>0.04688103812877047</v>
      </c>
      <c r="M12" t="inlineStr">
        <is>
          <t>3745369692fdd9908588316bac212f6e3b171183</t>
        </is>
      </c>
      <c r="N12" t="inlineStr">
        <is>
          <t>fcbd203c249400fbffb203ae99bbe5b384666732f91b4d24c21f16e715cbe029</t>
        </is>
      </c>
      <c r="O12">
        <v>0</v>
      </c>
      <c r="P12" t="inlineStr">
        <is>
          <t>AMD Radeon 890M Graphics (RADV STRIX1); Vulkan; radv; Mesa 26.0.8-1ubuntu0.3</t>
        </is>
      </c>
      <c r="Q12" t="inlineStr">
        <is>
          <t>[2346, 1091]</t>
        </is>
      </c>
    </row>
    <row r="13">
      <c r="A13" t="inlineStr">
        <is>
          <t>impulse-delay-trace</t>
        </is>
      </c>
      <c r="B13">
        <v>3</v>
      </c>
      <c r="C13" t="inlineStr">
        <is>
          <t>True</t>
        </is>
      </c>
      <c r="D13">
        <v>9.810649999991483</v>
      </c>
      <c r="E13">
        <v>40.52105599999777</v>
      </c>
      <c r="F13">
        <v>119.41216328258223</v>
      </c>
      <c r="G13">
        <v>59.98551406399999</v>
      </c>
      <c r="H13">
        <v>7164</v>
      </c>
      <c r="I13">
        <v>15352</v>
      </c>
      <c r="J13">
        <v>1.0</v>
      </c>
      <c r="K13">
        <v>0.9991623621387686</v>
      </c>
      <c r="L13">
        <v>0.0468568805566293</v>
      </c>
      <c r="M13" t="inlineStr">
        <is>
          <t>3745369692fdd9908588316bac212f6e3b171183</t>
        </is>
      </c>
      <c r="N13" t="inlineStr">
        <is>
          <t>fcbd203c249400fbffb203ae99bbe5b384666732f91b4d24c21f16e715cbe029</t>
        </is>
      </c>
      <c r="O13">
        <v>0</v>
      </c>
      <c r="P13" t="inlineStr">
        <is>
          <t>AMD Radeon 890M Graphics (RADV STRIX1); Vulkan; radv; Mesa 26.0.8-1ubuntu0.3</t>
        </is>
      </c>
      <c r="Q13" t="inlineStr">
        <is>
          <t>[2346, 1091]</t>
        </is>
      </c>
    </row>
    <row r="14">
      <c r="A14" t="inlineStr">
        <is>
          <t>noise-channels-full</t>
        </is>
      </c>
      <c r="B14">
        <v>1</v>
      </c>
      <c r="C14" t="inlineStr">
        <is>
          <t>True</t>
        </is>
      </c>
      <c r="D14">
        <v>9.143137000002355</v>
      </c>
      <c r="E14">
        <v>40.50964899999963</v>
      </c>
      <c r="F14">
        <v>119.59629095959174</v>
      </c>
      <c r="G14">
        <v>59.993499316999994</v>
      </c>
      <c r="H14">
        <v>7176</v>
      </c>
      <c r="I14">
        <v>15352</v>
      </c>
      <c r="J14">
        <v>1.0</v>
      </c>
      <c r="K14">
        <v>0.9991637630662021</v>
      </c>
      <c r="L14">
        <v>0.0</v>
      </c>
      <c r="M14" t="inlineStr">
        <is>
          <t>3745369692fdd9908588316bac212f6e3b171183</t>
        </is>
      </c>
      <c r="N14" t="inlineStr">
        <is>
          <t>fcbd203c249400fbffb203ae99bbe5b384666732f91b4d24c21f16e715cbe029</t>
        </is>
      </c>
      <c r="O14">
        <v>0</v>
      </c>
      <c r="P14" t="inlineStr">
        <is>
          <t>AMD Radeon 890M Graphics (RADV STRIX1); Vulkan; radv; Mesa 26.0.8-1ubuntu0.3</t>
        </is>
      </c>
      <c r="Q14" t="inlineStr">
        <is>
          <t>[2346, 1091]</t>
        </is>
      </c>
    </row>
    <row r="15">
      <c r="A15" t="inlineStr">
        <is>
          <t>noise-channels-full</t>
        </is>
      </c>
      <c r="B15">
        <v>2</v>
      </c>
      <c r="C15" t="inlineStr">
        <is>
          <t>True</t>
        </is>
      </c>
      <c r="D15">
        <v>9.8979589999999</v>
      </c>
      <c r="E15">
        <v>40.81647299999895</v>
      </c>
      <c r="F15">
        <v>119.3574574687573</v>
      </c>
      <c r="G15">
        <v>59.987872998</v>
      </c>
      <c r="H15">
        <v>7161</v>
      </c>
      <c r="I15">
        <v>15352</v>
      </c>
      <c r="J15">
        <v>1.0</v>
      </c>
      <c r="K15">
        <v>0.998463687150838</v>
      </c>
      <c r="L15">
        <v>0.0</v>
      </c>
      <c r="M15" t="inlineStr">
        <is>
          <t>3745369692fdd9908588316bac212f6e3b171183</t>
        </is>
      </c>
      <c r="N15" t="inlineStr">
        <is>
          <t>fcbd203c249400fbffb203ae99bbe5b384666732f91b4d24c21f16e715cbe029</t>
        </is>
      </c>
      <c r="O15">
        <v>0</v>
      </c>
      <c r="P15" t="inlineStr">
        <is>
          <t>AMD Radeon 890M Graphics (RADV STRIX1); Vulkan; radv; Mesa 26.0.8-1ubuntu0.3</t>
        </is>
      </c>
      <c r="Q15" t="inlineStr">
        <is>
          <t>[2346, 1091]</t>
        </is>
      </c>
    </row>
    <row r="16">
      <c r="A16" t="inlineStr">
        <is>
          <t>noise-channels-full</t>
        </is>
      </c>
      <c r="B16">
        <v>3</v>
      </c>
      <c r="C16" t="inlineStr">
        <is>
          <t>True</t>
        </is>
      </c>
      <c r="D16">
        <v>9.171714000004272</v>
      </c>
      <c r="E16">
        <v>40.5068820000015</v>
      </c>
      <c r="F16">
        <v>119.33455914550379</v>
      </c>
      <c r="G16">
        <v>59.991003874</v>
      </c>
      <c r="H16">
        <v>7160</v>
      </c>
      <c r="I16">
        <v>15360</v>
      </c>
      <c r="J16">
        <v>1.0</v>
      </c>
      <c r="K16">
        <v>0.9990222098058388</v>
      </c>
      <c r="L16">
        <v>0.0</v>
      </c>
      <c r="M16" t="inlineStr">
        <is>
          <t>3745369692fdd9908588316bac212f6e3b171183</t>
        </is>
      </c>
      <c r="N16" t="inlineStr">
        <is>
          <t>fcbd203c249400fbffb203ae99bbe5b384666732f91b4d24c21f16e715cbe029</t>
        </is>
      </c>
      <c r="O16">
        <v>0</v>
      </c>
      <c r="P16" t="inlineStr">
        <is>
          <t>AMD Radeon 890M Graphics (RADV STRIX1); Vulkan; radv; Mesa 26.0.8-1ubuntu0.3</t>
        </is>
      </c>
      <c r="Q16" t="inlineStr">
        <is>
          <t>[2346, 1091]</t>
        </is>
      </c>
    </row>
    <row r="17">
      <c r="A17" t="inlineStr">
        <is>
          <t>noise-channels-trace</t>
        </is>
      </c>
      <c r="B17">
        <v>1</v>
      </c>
      <c r="C17" t="inlineStr">
        <is>
          <t>True</t>
        </is>
      </c>
      <c r="D17">
        <v>9.425285000000727</v>
      </c>
      <c r="E17">
        <v>40.546753000002354</v>
      </c>
      <c r="F17">
        <v>119.69261696361654</v>
      </c>
      <c r="G17">
        <v>59.98699153</v>
      </c>
      <c r="H17">
        <v>7181</v>
      </c>
      <c r="I17">
        <v>15360</v>
      </c>
      <c r="J17">
        <v>1.0</v>
      </c>
      <c r="K17">
        <v>0.9991643454038998</v>
      </c>
      <c r="L17">
        <v>0.0</v>
      </c>
      <c r="M17" t="inlineStr">
        <is>
          <t>3745369692fdd9908588316bac212f6e3b171183</t>
        </is>
      </c>
      <c r="N17" t="inlineStr">
        <is>
          <t>fcbd203c249400fbffb203ae99bbe5b384666732f91b4d24c21f16e715cbe029</t>
        </is>
      </c>
      <c r="O17">
        <v>0</v>
      </c>
      <c r="P17" t="inlineStr">
        <is>
          <t>AMD Radeon 890M Graphics (RADV STRIX1); Vulkan; radv; Mesa 26.0.8-1ubuntu0.3</t>
        </is>
      </c>
      <c r="Q17" t="inlineStr">
        <is>
          <t>[2346, 1091]</t>
        </is>
      </c>
    </row>
    <row r="18">
      <c r="A18" t="inlineStr">
        <is>
          <t>noise-channels-trace</t>
        </is>
      </c>
      <c r="B18">
        <v>2</v>
      </c>
      <c r="C18" t="inlineStr">
        <is>
          <t>True</t>
        </is>
      </c>
      <c r="D18">
        <v>9.858533999999253</v>
      </c>
      <c r="E18">
        <v>40.61235000000306</v>
      </c>
      <c r="F18">
        <v>119.55523045961263</v>
      </c>
      <c r="G18">
        <v>59.989010706</v>
      </c>
      <c r="H18">
        <v>7173</v>
      </c>
      <c r="I18">
        <v>15360</v>
      </c>
      <c r="J18">
        <v>1.0</v>
      </c>
      <c r="K18">
        <v>0.9990239821528165</v>
      </c>
      <c r="L18">
        <v>0.0</v>
      </c>
      <c r="M18" t="inlineStr">
        <is>
          <t>3745369692fdd9908588316bac212f6e3b171183</t>
        </is>
      </c>
      <c r="N18" t="inlineStr">
        <is>
          <t>fcbd203c249400fbffb203ae99bbe5b384666732f91b4d24c21f16e715cbe029</t>
        </is>
      </c>
      <c r="O18">
        <v>0</v>
      </c>
      <c r="P18" t="inlineStr">
        <is>
          <t>AMD Radeon 890M Graphics (RADV STRIX1); Vulkan; radv; Mesa 26.0.8-1ubuntu0.3</t>
        </is>
      </c>
      <c r="Q18" t="inlineStr">
        <is>
          <t>[2346, 1091]</t>
        </is>
      </c>
    </row>
    <row r="19">
      <c r="A19" t="inlineStr">
        <is>
          <t>noise-channels-trace</t>
        </is>
      </c>
      <c r="B19">
        <v>3</v>
      </c>
      <c r="C19" t="inlineStr">
        <is>
          <t>True</t>
        </is>
      </c>
      <c r="D19">
        <v>9.489227999999628</v>
      </c>
      <c r="E19">
        <v>40.58129000000008</v>
      </c>
      <c r="F19">
        <v>119.60256162387437</v>
      </c>
      <c r="G19">
        <v>59.990353907</v>
      </c>
      <c r="H19">
        <v>7176</v>
      </c>
      <c r="I19">
        <v>15360</v>
      </c>
      <c r="J19">
        <v>1.0</v>
      </c>
      <c r="K19">
        <v>0.9991637630662021</v>
      </c>
      <c r="L19">
        <v>0.0</v>
      </c>
      <c r="M19" t="inlineStr">
        <is>
          <t>3745369692fdd9908588316bac212f6e3b171183</t>
        </is>
      </c>
      <c r="N19" t="inlineStr">
        <is>
          <t>fcbd203c249400fbffb203ae99bbe5b384666732f91b4d24c21f16e715cbe029</t>
        </is>
      </c>
      <c r="O19">
        <v>0</v>
      </c>
      <c r="P19" t="inlineStr">
        <is>
          <t>AMD Radeon 890M Graphics (RADV STRIX1); Vulkan; radv; Mesa 26.0.8-1ubuntu0.3</t>
        </is>
      </c>
      <c r="Q19" t="inlineStr">
        <is>
          <t>[2346, 1091]</t>
        </is>
      </c>
    </row>
    <row r="20">
      <c r="A20" t="inlineStr">
        <is>
          <t>noise-delay-full</t>
        </is>
      </c>
      <c r="B20">
        <v>1</v>
      </c>
      <c r="C20" t="inlineStr">
        <is>
          <t>True</t>
        </is>
      </c>
      <c r="D20">
        <v>9.37986799999635</v>
      </c>
      <c r="E20">
        <v>40.62357999999949</v>
      </c>
      <c r="F20">
        <v>119.45818470728558</v>
      </c>
      <c r="G20">
        <v>59.987517954999994</v>
      </c>
      <c r="H20">
        <v>7167</v>
      </c>
      <c r="I20">
        <v>15360</v>
      </c>
      <c r="J20">
        <v>1.0</v>
      </c>
      <c r="K20">
        <v>0.999162712810494</v>
      </c>
      <c r="L20">
        <v>0.0</v>
      </c>
      <c r="M20" t="inlineStr">
        <is>
          <t>3745369692fdd9908588316bac212f6e3b171183</t>
        </is>
      </c>
      <c r="N20" t="inlineStr">
        <is>
          <t>fcbd203c249400fbffb203ae99bbe5b384666732f91b4d24c21f16e715cbe029</t>
        </is>
      </c>
      <c r="O20">
        <v>0</v>
      </c>
      <c r="P20" t="inlineStr">
        <is>
          <t>AMD Radeon 890M Graphics (RADV STRIX1); Vulkan; radv; Mesa 26.0.8-1ubuntu0.3</t>
        </is>
      </c>
      <c r="Q20" t="inlineStr">
        <is>
          <t>[2346, 1091]</t>
        </is>
      </c>
    </row>
    <row r="21">
      <c r="A21" t="inlineStr">
        <is>
          <t>noise-delay-full</t>
        </is>
      </c>
      <c r="B21">
        <v>2</v>
      </c>
      <c r="C21" t="inlineStr">
        <is>
          <t>True</t>
        </is>
      </c>
      <c r="D21">
        <v>9.091062000003092</v>
      </c>
      <c r="E21">
        <v>40.363777999999</v>
      </c>
      <c r="F21">
        <v>119.66641481164714</v>
      </c>
      <c r="G21">
        <v>59.991769715</v>
      </c>
      <c r="H21">
        <v>7180</v>
      </c>
      <c r="I21">
        <v>15360</v>
      </c>
      <c r="J21">
        <v>1.0</v>
      </c>
      <c r="K21">
        <v>0.9993035241677114</v>
      </c>
      <c r="L21">
        <v>0.0</v>
      </c>
      <c r="M21" t="inlineStr">
        <is>
          <t>3745369692fdd9908588316bac212f6e3b171183</t>
        </is>
      </c>
      <c r="N21" t="inlineStr">
        <is>
          <t>fcbd203c249400fbffb203ae99bbe5b384666732f91b4d24c21f16e715cbe029</t>
        </is>
      </c>
      <c r="O21">
        <v>0</v>
      </c>
      <c r="P21" t="inlineStr">
        <is>
          <t>AMD Radeon 890M Graphics (RADV STRIX1); Vulkan; radv; Mesa 26.0.8-1ubuntu0.3</t>
        </is>
      </c>
      <c r="Q21" t="inlineStr">
        <is>
          <t>[2346, 1091]</t>
        </is>
      </c>
    </row>
    <row r="22">
      <c r="A22" t="inlineStr">
        <is>
          <t>noise-delay-full</t>
        </is>
      </c>
      <c r="B22">
        <v>3</v>
      </c>
      <c r="C22" t="inlineStr">
        <is>
          <t>True</t>
        </is>
      </c>
      <c r="D22">
        <v>9.34757800000341</v>
      </c>
      <c r="E22">
        <v>40.66573300000164</v>
      </c>
      <c r="F22">
        <v>119.68004365620757</v>
      </c>
      <c r="G22">
        <v>59.993293624</v>
      </c>
      <c r="H22">
        <v>7181</v>
      </c>
      <c r="I22">
        <v>15360</v>
      </c>
      <c r="J22">
        <v>1.0</v>
      </c>
      <c r="K22">
        <v>0.9991643454038998</v>
      </c>
      <c r="L22">
        <v>0.0</v>
      </c>
      <c r="M22" t="inlineStr">
        <is>
          <t>3745369692fdd9908588316bac212f6e3b171183</t>
        </is>
      </c>
      <c r="N22" t="inlineStr">
        <is>
          <t>fcbd203c249400fbffb203ae99bbe5b384666732f91b4d24c21f16e715cbe029</t>
        </is>
      </c>
      <c r="O22">
        <v>0</v>
      </c>
      <c r="P22" t="inlineStr">
        <is>
          <t>AMD Radeon 890M Graphics (RADV STRIX1); Vulkan; radv; Mesa 26.0.8-1ubuntu0.3</t>
        </is>
      </c>
      <c r="Q22" t="inlineStr">
        <is>
          <t>[2346, 1091]</t>
        </is>
      </c>
    </row>
    <row r="23">
      <c r="A23" t="inlineStr">
        <is>
          <t>noise-delay-trace</t>
        </is>
      </c>
      <c r="B23">
        <v>1</v>
      </c>
      <c r="C23" t="inlineStr">
        <is>
          <t>True</t>
        </is>
      </c>
      <c r="D23">
        <v>9.20915300000047</v>
      </c>
      <c r="E23">
        <v>40.44188600000052</v>
      </c>
      <c r="F23">
        <v>119.55878984665604</v>
      </c>
      <c r="G23">
        <v>59.995588858</v>
      </c>
      <c r="H23">
        <v>7174</v>
      </c>
      <c r="I23">
        <v>15360</v>
      </c>
      <c r="J23">
        <v>1.0</v>
      </c>
      <c r="K23">
        <v>0.9990241182211069</v>
      </c>
      <c r="L23">
        <v>0.0</v>
      </c>
      <c r="M23" t="inlineStr">
        <is>
          <t>3745369692fdd9908588316bac212f6e3b171183</t>
        </is>
      </c>
      <c r="N23" t="inlineStr">
        <is>
          <t>fcbd203c249400fbffb203ae99bbe5b384666732f91b4d24c21f16e715cbe029</t>
        </is>
      </c>
      <c r="O23">
        <v>0</v>
      </c>
      <c r="P23" t="inlineStr">
        <is>
          <t>AMD Radeon 890M Graphics (RADV STRIX1); Vulkan; radv; Mesa 26.0.8-1ubuntu0.3</t>
        </is>
      </c>
      <c r="Q23" t="inlineStr">
        <is>
          <t>[2346, 1091]</t>
        </is>
      </c>
    </row>
    <row r="24">
      <c r="A24" t="inlineStr">
        <is>
          <t>noise-delay-trace</t>
        </is>
      </c>
      <c r="B24">
        <v>2</v>
      </c>
      <c r="C24" t="inlineStr">
        <is>
          <t>True</t>
        </is>
      </c>
      <c r="D24">
        <v>10.434391000000431</v>
      </c>
      <c r="E24">
        <v>40.973307000000204</v>
      </c>
      <c r="F24">
        <v>119.29617143121605</v>
      </c>
      <c r="G24">
        <v>59.985160581</v>
      </c>
      <c r="H24">
        <v>7157</v>
      </c>
      <c r="I24">
        <v>15360</v>
      </c>
      <c r="J24">
        <v>1.0</v>
      </c>
      <c r="K24">
        <v>0.9980435997764114</v>
      </c>
      <c r="L24">
        <v>0.0</v>
      </c>
      <c r="M24" t="inlineStr">
        <is>
          <t>3745369692fdd9908588316bac212f6e3b171183</t>
        </is>
      </c>
      <c r="N24" t="inlineStr">
        <is>
          <t>fcbd203c249400fbffb203ae99bbe5b384666732f91b4d24c21f16e715cbe029</t>
        </is>
      </c>
      <c r="O24">
        <v>0</v>
      </c>
      <c r="P24" t="inlineStr">
        <is>
          <t>AMD Radeon 890M Graphics (RADV STRIX1); Vulkan; radv; Mesa 26.0.8-1ubuntu0.3</t>
        </is>
      </c>
      <c r="Q24" t="inlineStr">
        <is>
          <t>[2346, 1091]</t>
        </is>
      </c>
    </row>
    <row r="25">
      <c r="A25" t="inlineStr">
        <is>
          <t>noise-delay-trace</t>
        </is>
      </c>
      <c r="B25">
        <v>3</v>
      </c>
      <c r="C25" t="inlineStr">
        <is>
          <t>True</t>
        </is>
      </c>
      <c r="D25">
        <v>9.663239999998297</v>
      </c>
      <c r="E25">
        <v>40.26230200000282</v>
      </c>
      <c r="F25">
        <v>119.48408174639458</v>
      </c>
      <c r="G25">
        <v>59.991254862000005</v>
      </c>
      <c r="H25">
        <v>7169</v>
      </c>
      <c r="I25">
        <v>15360</v>
      </c>
      <c r="J25">
        <v>1.0</v>
      </c>
      <c r="K25">
        <v>0.9991629464285714</v>
      </c>
      <c r="L25">
        <v>0.0</v>
      </c>
      <c r="M25" t="inlineStr">
        <is>
          <t>3745369692fdd9908588316bac212f6e3b171183</t>
        </is>
      </c>
      <c r="N25" t="inlineStr">
        <is>
          <t>fcbd203c249400fbffb203ae99bbe5b384666732f91b4d24c21f16e715cbe029</t>
        </is>
      </c>
      <c r="O25">
        <v>0</v>
      </c>
      <c r="P25" t="inlineStr">
        <is>
          <t>AMD Radeon 890M Graphics (RADV STRIX1); Vulkan; radv; Mesa 26.0.8-1ubuntu0.3</t>
        </is>
      </c>
      <c r="Q25" t="inlineStr">
        <is>
          <t>[2346, 1091]</t>
        </is>
      </c>
    </row>
    <row r="26">
      <c r="A26" t="inlineStr">
        <is>
          <t>rhythmic-channels-full</t>
        </is>
      </c>
      <c r="B26">
        <v>1</v>
      </c>
      <c r="C26" t="inlineStr">
        <is>
          <t>True</t>
        </is>
      </c>
      <c r="D26">
        <v>9.001346999998106</v>
      </c>
      <c r="E26">
        <v>40.59611500000028</v>
      </c>
      <c r="F26">
        <v>119.50044142282893</v>
      </c>
      <c r="G26">
        <v>59.991410196</v>
      </c>
      <c r="H26">
        <v>7170</v>
      </c>
      <c r="I26">
        <v>15360</v>
      </c>
      <c r="J26">
        <v>1.0</v>
      </c>
      <c r="K26">
        <v>0.9991630631887293</v>
      </c>
      <c r="L26">
        <v>0.0</v>
      </c>
      <c r="M26" t="inlineStr">
        <is>
          <t>3745369692fdd9908588316bac212f6e3b171183</t>
        </is>
      </c>
      <c r="N26" t="inlineStr">
        <is>
          <t>fcbd203c249400fbffb203ae99bbe5b384666732f91b4d24c21f16e715cbe029</t>
        </is>
      </c>
      <c r="O26">
        <v>0</v>
      </c>
      <c r="P26" t="inlineStr">
        <is>
          <t>AMD Radeon 890M Graphics (RADV STRIX1); Vulkan; radv; Mesa 26.0.8-1ubuntu0.3</t>
        </is>
      </c>
      <c r="Q26" t="inlineStr">
        <is>
          <t>[2346, 1091]</t>
        </is>
      </c>
    </row>
    <row r="27">
      <c r="A27" t="inlineStr">
        <is>
          <t>rhythmic-channels-full</t>
        </is>
      </c>
      <c r="B27">
        <v>2</v>
      </c>
      <c r="C27" t="inlineStr">
        <is>
          <t>True</t>
        </is>
      </c>
      <c r="D27">
        <v>9.673922000001056</v>
      </c>
      <c r="E27">
        <v>40.6071669999983</v>
      </c>
      <c r="F27">
        <v>119.44430653645094</v>
      </c>
      <c r="G27">
        <v>59.994487873</v>
      </c>
      <c r="H27">
        <v>7167</v>
      </c>
      <c r="I27">
        <v>15360</v>
      </c>
      <c r="J27">
        <v>1.0</v>
      </c>
      <c r="K27">
        <v>0.9990231649455763</v>
      </c>
      <c r="L27">
        <v>0.0</v>
      </c>
      <c r="M27" t="inlineStr">
        <is>
          <t>3745369692fdd9908588316bac212f6e3b171183</t>
        </is>
      </c>
      <c r="N27" t="inlineStr">
        <is>
          <t>fcbd203c249400fbffb203ae99bbe5b384666732f91b4d24c21f16e715cbe029</t>
        </is>
      </c>
      <c r="O27">
        <v>0</v>
      </c>
      <c r="P27" t="inlineStr">
        <is>
          <t>AMD Radeon 890M Graphics (RADV STRIX1); Vulkan; radv; Mesa 26.0.8-1ubuntu0.3</t>
        </is>
      </c>
      <c r="Q27" t="inlineStr">
        <is>
          <t>[2346, 1091]</t>
        </is>
      </c>
    </row>
    <row r="28">
      <c r="A28" t="inlineStr">
        <is>
          <t>rhythmic-channels-full</t>
        </is>
      </c>
      <c r="B28">
        <v>3</v>
      </c>
      <c r="C28" t="inlineStr">
        <is>
          <t>True</t>
        </is>
      </c>
      <c r="D28">
        <v>10.030900000000287</v>
      </c>
      <c r="E28">
        <v>40.64384099999734</v>
      </c>
      <c r="F28">
        <v>119.62741187395044</v>
      </c>
      <c r="G28">
        <v>59.994610663</v>
      </c>
      <c r="H28">
        <v>7178</v>
      </c>
      <c r="I28">
        <v>15360</v>
      </c>
      <c r="J28">
        <v>1.0</v>
      </c>
      <c r="K28">
        <v>0.9990246621150899</v>
      </c>
      <c r="L28">
        <v>0.0</v>
      </c>
      <c r="M28" t="inlineStr">
        <is>
          <t>3745369692fdd9908588316bac212f6e3b171183</t>
        </is>
      </c>
      <c r="N28" t="inlineStr">
        <is>
          <t>fcbd203c249400fbffb203ae99bbe5b384666732f91b4d24c21f16e715cbe029</t>
        </is>
      </c>
      <c r="O28">
        <v>0</v>
      </c>
      <c r="P28" t="inlineStr">
        <is>
          <t>AMD Radeon 890M Graphics (RADV STRIX1); Vulkan; radv; Mesa 26.0.8-1ubuntu0.3</t>
        </is>
      </c>
      <c r="Q28" t="inlineStr">
        <is>
          <t>[2346, 1091]</t>
        </is>
      </c>
    </row>
    <row r="29">
      <c r="A29" t="inlineStr">
        <is>
          <t>rhythmic-channels-trace</t>
        </is>
      </c>
      <c r="B29">
        <v>1</v>
      </c>
      <c r="C29" t="inlineStr">
        <is>
          <t>True</t>
        </is>
      </c>
      <c r="D29">
        <v>9.303726999995376</v>
      </c>
      <c r="E29">
        <v>40.53923699999723</v>
      </c>
      <c r="F29">
        <v>119.62879628291739</v>
      </c>
      <c r="G29">
        <v>59.993916373000005</v>
      </c>
      <c r="H29">
        <v>7178</v>
      </c>
      <c r="I29">
        <v>15352</v>
      </c>
      <c r="J29">
        <v>1.0</v>
      </c>
      <c r="K29">
        <v>0.9993033300822071</v>
      </c>
      <c r="L29">
        <v>0.0</v>
      </c>
      <c r="M29" t="inlineStr">
        <is>
          <t>3745369692fdd9908588316bac212f6e3b171183</t>
        </is>
      </c>
      <c r="N29" t="inlineStr">
        <is>
          <t>fcbd203c249400fbffb203ae99bbe5b384666732f91b4d24c21f16e715cbe029</t>
        </is>
      </c>
      <c r="O29">
        <v>0</v>
      </c>
      <c r="P29" t="inlineStr">
        <is>
          <t>AMD Radeon 890M Graphics (RADV STRIX1); Vulkan; radv; Mesa 26.0.8-1ubuntu0.3</t>
        </is>
      </c>
      <c r="Q29" t="inlineStr">
        <is>
          <t>[2346, 1091]</t>
        </is>
      </c>
    </row>
    <row r="30">
      <c r="A30" t="inlineStr">
        <is>
          <t>rhythmic-channels-trace</t>
        </is>
      </c>
      <c r="B30">
        <v>2</v>
      </c>
      <c r="C30" t="inlineStr">
        <is>
          <t>True</t>
        </is>
      </c>
      <c r="D30">
        <v>9.357198000003564</v>
      </c>
      <c r="E30">
        <v>40.27803800000038</v>
      </c>
      <c r="F30">
        <v>119.6085475936106</v>
      </c>
      <c r="G30">
        <v>59.995712215999994</v>
      </c>
      <c r="H30">
        <v>7177</v>
      </c>
      <c r="I30">
        <v>15352</v>
      </c>
      <c r="J30">
        <v>1.0</v>
      </c>
      <c r="K30">
        <v>0.9991638795986622</v>
      </c>
      <c r="L30">
        <v>0.0</v>
      </c>
      <c r="M30" t="inlineStr">
        <is>
          <t>3745369692fdd9908588316bac212f6e3b171183</t>
        </is>
      </c>
      <c r="N30" t="inlineStr">
        <is>
          <t>fcbd203c249400fbffb203ae99bbe5b384666732f91b4d24c21f16e715cbe029</t>
        </is>
      </c>
      <c r="O30">
        <v>0</v>
      </c>
      <c r="P30" t="inlineStr">
        <is>
          <t>AMD Radeon 890M Graphics (RADV STRIX1); Vulkan; radv; Mesa 26.0.8-1ubuntu0.3</t>
        </is>
      </c>
      <c r="Q30" t="inlineStr">
        <is>
          <t>[2346, 1091]</t>
        </is>
      </c>
    </row>
    <row r="31">
      <c r="A31" t="inlineStr">
        <is>
          <t>rhythmic-channels-trace</t>
        </is>
      </c>
      <c r="B31">
        <v>3</v>
      </c>
      <c r="C31" t="inlineStr">
        <is>
          <t>True</t>
        </is>
      </c>
      <c r="D31">
        <v>10.091424999998821</v>
      </c>
      <c r="E31">
        <v>40.70787000000564</v>
      </c>
      <c r="F31">
        <v>119.50056825100577</v>
      </c>
      <c r="G31">
        <v>59.991346525999994</v>
      </c>
      <c r="H31">
        <v>7170</v>
      </c>
      <c r="I31">
        <v>15352</v>
      </c>
      <c r="J31">
        <v>1.0</v>
      </c>
      <c r="K31">
        <v>0.9991630631887293</v>
      </c>
      <c r="L31">
        <v>0.0</v>
      </c>
      <c r="M31" t="inlineStr">
        <is>
          <t>3745369692fdd9908588316bac212f6e3b171183</t>
        </is>
      </c>
      <c r="N31" t="inlineStr">
        <is>
          <t>fcbd203c249400fbffb203ae99bbe5b384666732f91b4d24c21f16e715cbe029</t>
        </is>
      </c>
      <c r="O31">
        <v>0</v>
      </c>
      <c r="P31" t="inlineStr">
        <is>
          <t>AMD Radeon 890M Graphics (RADV STRIX1); Vulkan; radv; Mesa 26.0.8-1ubuntu0.3</t>
        </is>
      </c>
      <c r="Q31" t="inlineStr">
        <is>
          <t>[2346, 1091]</t>
        </is>
      </c>
    </row>
    <row r="32">
      <c r="A32" t="inlineStr">
        <is>
          <t>rhythmic-delay-full</t>
        </is>
      </c>
      <c r="B32">
        <v>1</v>
      </c>
      <c r="C32" t="inlineStr">
        <is>
          <t>True</t>
        </is>
      </c>
      <c r="D32">
        <v>9.070358000002443</v>
      </c>
      <c r="E32">
        <v>40.66582400000152</v>
      </c>
      <c r="F32">
        <v>119.57891975913581</v>
      </c>
      <c r="G32">
        <v>59.99385188000001</v>
      </c>
      <c r="H32">
        <v>7175</v>
      </c>
      <c r="I32">
        <v>15360</v>
      </c>
      <c r="J32">
        <v>1.0</v>
      </c>
      <c r="K32">
        <v>0.9991636465012546</v>
      </c>
      <c r="L32">
        <v>0.0</v>
      </c>
      <c r="M32" t="inlineStr">
        <is>
          <t>3745369692fdd9908588316bac212f6e3b171183</t>
        </is>
      </c>
      <c r="N32" t="inlineStr">
        <is>
          <t>fcbd203c249400fbffb203ae99bbe5b384666732f91b4d24c21f16e715cbe029</t>
        </is>
      </c>
      <c r="O32">
        <v>0</v>
      </c>
      <c r="P32" t="inlineStr">
        <is>
          <t>AMD Radeon 890M Graphics (RADV STRIX1); Vulkan; radv; Mesa 26.0.8-1ubuntu0.3</t>
        </is>
      </c>
      <c r="Q32" t="inlineStr">
        <is>
          <t>[2346, 1091]</t>
        </is>
      </c>
    </row>
    <row r="33">
      <c r="A33" t="inlineStr">
        <is>
          <t>rhythmic-delay-full</t>
        </is>
      </c>
      <c r="B33">
        <v>2</v>
      </c>
      <c r="C33" t="inlineStr">
        <is>
          <t>True</t>
        </is>
      </c>
      <c r="D33">
        <v>9.30968800000187</v>
      </c>
      <c r="E33">
        <v>40.48168900000019</v>
      </c>
      <c r="F33">
        <v>119.47176275262765</v>
      </c>
      <c r="G33">
        <v>59.997440690999994</v>
      </c>
      <c r="H33">
        <v>7169</v>
      </c>
      <c r="I33">
        <v>15352</v>
      </c>
      <c r="J33">
        <v>1.0</v>
      </c>
      <c r="K33">
        <v>0.9991629464285714</v>
      </c>
      <c r="L33">
        <v>0.0</v>
      </c>
      <c r="M33" t="inlineStr">
        <is>
          <t>3745369692fdd9908588316bac212f6e3b171183</t>
        </is>
      </c>
      <c r="N33" t="inlineStr">
        <is>
          <t>fcbd203c249400fbffb203ae99bbe5b384666732f91b4d24c21f16e715cbe029</t>
        </is>
      </c>
      <c r="O33">
        <v>0</v>
      </c>
      <c r="P33" t="inlineStr">
        <is>
          <t>AMD Radeon 890M Graphics (RADV STRIX1); Vulkan; radv; Mesa 26.0.8-1ubuntu0.3</t>
        </is>
      </c>
      <c r="Q33" t="inlineStr">
        <is>
          <t>[2346, 1091]</t>
        </is>
      </c>
    </row>
    <row r="34">
      <c r="A34" t="inlineStr">
        <is>
          <t>rhythmic-delay-full</t>
        </is>
      </c>
      <c r="B34">
        <v>3</v>
      </c>
      <c r="C34" t="inlineStr">
        <is>
          <t>True</t>
        </is>
      </c>
      <c r="D34">
        <v>9.632240000001957</v>
      </c>
      <c r="E34">
        <v>40.57528199999797</v>
      </c>
      <c r="F34">
        <v>119.47703518048093</v>
      </c>
      <c r="G34">
        <v>59.994793051</v>
      </c>
      <c r="H34">
        <v>7169</v>
      </c>
      <c r="I34">
        <v>15360</v>
      </c>
      <c r="J34">
        <v>1.0</v>
      </c>
      <c r="K34">
        <v>0.9988839285714286</v>
      </c>
      <c r="L34">
        <v>0.0</v>
      </c>
      <c r="M34" t="inlineStr">
        <is>
          <t>3745369692fdd9908588316bac212f6e3b171183</t>
        </is>
      </c>
      <c r="N34" t="inlineStr">
        <is>
          <t>fcbd203c249400fbffb203ae99bbe5b384666732f91b4d24c21f16e715cbe029</t>
        </is>
      </c>
      <c r="O34">
        <v>0</v>
      </c>
      <c r="P34" t="inlineStr">
        <is>
          <t>AMD Radeon 890M Graphics (RADV STRIX1); Vulkan; radv; Mesa 26.0.8-1ubuntu0.3</t>
        </is>
      </c>
      <c r="Q34" t="inlineStr">
        <is>
          <t>[2346, 1091]</t>
        </is>
      </c>
    </row>
    <row r="35">
      <c r="A35" t="inlineStr">
        <is>
          <t>rhythmic-delay-trace</t>
        </is>
      </c>
      <c r="B35">
        <v>1</v>
      </c>
      <c r="C35" t="inlineStr">
        <is>
          <t>True</t>
        </is>
      </c>
      <c r="D35">
        <v>9.086729999999932</v>
      </c>
      <c r="E35">
        <v>40.26747199999954</v>
      </c>
      <c r="F35">
        <v>119.62890612335944</v>
      </c>
      <c r="G35">
        <v>59.993861288</v>
      </c>
      <c r="H35">
        <v>7178</v>
      </c>
      <c r="I35">
        <v>15360</v>
      </c>
      <c r="J35">
        <v>1.0</v>
      </c>
      <c r="K35">
        <v>0.9991639960986485</v>
      </c>
      <c r="L35">
        <v>0.0</v>
      </c>
      <c r="M35" t="inlineStr">
        <is>
          <t>3745369692fdd9908588316bac212f6e3b171183</t>
        </is>
      </c>
      <c r="N35" t="inlineStr">
        <is>
          <t>fcbd203c249400fbffb203ae99bbe5b384666732f91b4d24c21f16e715cbe029</t>
        </is>
      </c>
      <c r="O35">
        <v>0</v>
      </c>
      <c r="P35" t="inlineStr">
        <is>
          <t>AMD Radeon 890M Graphics (RADV STRIX1); Vulkan; radv; Mesa 26.0.8-1ubuntu0.3</t>
        </is>
      </c>
      <c r="Q35" t="inlineStr">
        <is>
          <t>[2346, 1091]</t>
        </is>
      </c>
    </row>
    <row r="36">
      <c r="A36" t="inlineStr">
        <is>
          <t>rhythmic-delay-trace</t>
        </is>
      </c>
      <c r="B36">
        <v>2</v>
      </c>
      <c r="C36" t="inlineStr">
        <is>
          <t>True</t>
        </is>
      </c>
      <c r="D36">
        <v>9.326940999997646</v>
      </c>
      <c r="E36">
        <v>40.43812500000058</v>
      </c>
      <c r="F36">
        <v>119.60924350828793</v>
      </c>
      <c r="G36">
        <v>59.98700258900001</v>
      </c>
      <c r="H36">
        <v>7176</v>
      </c>
      <c r="I36">
        <v>15352</v>
      </c>
      <c r="J36">
        <v>1.0</v>
      </c>
      <c r="K36">
        <v>0.9991637630662021</v>
      </c>
      <c r="L36">
        <v>0.0</v>
      </c>
      <c r="M36" t="inlineStr">
        <is>
          <t>3745369692fdd9908588316bac212f6e3b171183</t>
        </is>
      </c>
      <c r="N36" t="inlineStr">
        <is>
          <t>fcbd203c249400fbffb203ae99bbe5b384666732f91b4d24c21f16e715cbe029</t>
        </is>
      </c>
      <c r="O36">
        <v>0</v>
      </c>
      <c r="P36" t="inlineStr">
        <is>
          <t>AMD Radeon 890M Graphics (RADV STRIX1); Vulkan; radv; Mesa 26.0.8-1ubuntu0.3</t>
        </is>
      </c>
      <c r="Q36" t="inlineStr">
        <is>
          <t>[2346, 1091]</t>
        </is>
      </c>
    </row>
    <row r="37">
      <c r="A37" t="inlineStr">
        <is>
          <t>rhythmic-delay-trace</t>
        </is>
      </c>
      <c r="B37">
        <v>3</v>
      </c>
      <c r="C37" t="inlineStr">
        <is>
          <t>True</t>
        </is>
      </c>
      <c r="D37">
        <v>9.25125399999871</v>
      </c>
      <c r="E37">
        <v>40.464389000000665</v>
      </c>
      <c r="F37">
        <v>119.64522748474718</v>
      </c>
      <c r="G37">
        <v>59.99403529</v>
      </c>
      <c r="H37">
        <v>7179</v>
      </c>
      <c r="I37">
        <v>15360</v>
      </c>
      <c r="J37">
        <v>1.0</v>
      </c>
      <c r="K37">
        <v>0.9993034271384786</v>
      </c>
      <c r="L37">
        <v>0.0</v>
      </c>
      <c r="M37" t="inlineStr">
        <is>
          <t>3745369692fdd9908588316bac212f6e3b171183</t>
        </is>
      </c>
      <c r="N37" t="inlineStr">
        <is>
          <t>fcbd203c249400fbffb203ae99bbe5b384666732f91b4d24c21f16e715cbe029</t>
        </is>
      </c>
      <c r="O37">
        <v>0</v>
      </c>
      <c r="P37" t="inlineStr">
        <is>
          <t>AMD Radeon 890M Graphics (RADV STRIX1); Vulkan; radv; Mesa 26.0.8-1ubuntu0.3</t>
        </is>
      </c>
      <c r="Q37" t="inlineStr">
        <is>
          <t>[2346, 1091]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&amp; Targets</vt:lpstr>
      <vt:lpstr>_Chart 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